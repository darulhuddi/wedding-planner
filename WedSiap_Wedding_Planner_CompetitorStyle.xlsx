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— START HERE" sheetId="1" state="visible" r:id="rId1"/>
    <sheet name="02 — DASHBOARD" sheetId="2" state="visible" r:id="rId2"/>
    <sheet name="03 — BUDGET" sheetId="3" state="visible" r:id="rId3"/>
    <sheet name="04 — CHECKLIST" sheetId="4" state="visible" r:id="rId4"/>
    <sheet name="05 — TIMELINE" sheetId="5" state="visible" r:id="rId5"/>
    <sheet name="06 — VENDOR" sheetId="6" state="visible" r:id="rId6"/>
    <sheet name="07 — GUEST LIST" sheetId="7" state="visible" r:id="rId7"/>
    <sheet name="08 — SESERAHAN" sheetId="8" state="visible" r:id="rId8"/>
    <sheet name="09 — ADMINISTRASI" sheetId="9" state="visible" r:id="rId9"/>
    <sheet name="10 — CATATA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p&quot;#,##0"/>
    <numFmt numFmtId="165" formatCode="0.0%"/>
  </numFmts>
  <fonts count="20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C96A91"/>
      <sz val="9.5"/>
    </font>
    <font>
      <name val="Segoe UI"/>
      <b val="1"/>
      <color rgb="004E183B"/>
      <sz val="11"/>
    </font>
    <font>
      <name val="Segoe UI"/>
      <b val="1"/>
      <color rgb="00332C30"/>
      <sz val="9"/>
    </font>
    <font>
      <name val="Segoe UI"/>
      <color rgb="00332C30"/>
      <sz val="9"/>
    </font>
    <font>
      <name val="Segoe UI"/>
      <b val="1"/>
      <color rgb="004E183B"/>
      <sz val="9.5"/>
    </font>
    <font>
      <name val="Segoe UI"/>
      <b val="1"/>
      <color rgb="006B214F"/>
      <sz val="9.5"/>
    </font>
    <font>
      <name val="Segoe UI"/>
      <b val="1"/>
      <color rgb="00FFFFFF"/>
      <sz val="11"/>
    </font>
    <font>
      <name val="Segoe UI"/>
      <b val="1"/>
      <color rgb="00FFFFFF"/>
      <sz val="8.5"/>
    </font>
    <font>
      <name val="Segoe UI"/>
      <b val="1"/>
      <color rgb="004E183B"/>
      <sz val="14"/>
    </font>
    <font>
      <name val="Segoe UI"/>
      <b val="1"/>
      <color rgb="00FFFFFF"/>
      <sz val="9.5"/>
    </font>
    <font>
      <name val="Segoe UI"/>
      <b val="1"/>
      <color rgb="004E183B"/>
      <sz val="10"/>
    </font>
    <font>
      <name val="Segoe UI"/>
      <color rgb="00332C30"/>
      <sz val="8.5"/>
    </font>
    <font>
      <name val="Segoe UI"/>
      <b val="1"/>
      <color rgb="004E183B"/>
      <sz val="9"/>
    </font>
    <font>
      <name val="Segoe UI"/>
      <b val="1"/>
      <color rgb="00195C4D"/>
      <sz val="9"/>
    </font>
    <font>
      <name val="Segoe UI"/>
      <b val="1"/>
      <color rgb="003E2B75"/>
      <sz val="9"/>
    </font>
    <font>
      <name val="Segoe UI"/>
      <b val="1"/>
      <color rgb="00856404"/>
      <sz val="9"/>
    </font>
    <font>
      <name val="Segoe UI"/>
      <b val="1"/>
      <color rgb="009C2243"/>
      <sz val="9"/>
    </font>
    <font>
      <name val="Segoe UI"/>
      <b val="1"/>
      <color rgb="004E183B"/>
      <sz val="12"/>
    </font>
  </fonts>
  <fills count="15">
    <fill>
      <patternFill/>
    </fill>
    <fill>
      <patternFill patternType="gray125"/>
    </fill>
    <fill>
      <patternFill patternType="solid">
        <fgColor rgb="006B214F"/>
        <bgColor rgb="006B214F"/>
      </patternFill>
    </fill>
    <fill>
      <patternFill patternType="solid">
        <fgColor rgb="00FAEEF4"/>
        <bgColor rgb="00FAEEF4"/>
      </patternFill>
    </fill>
    <fill>
      <patternFill patternType="solid">
        <fgColor rgb="00F3D9E5"/>
        <bgColor rgb="00F3D9E5"/>
      </patternFill>
    </fill>
    <fill>
      <patternFill patternType="solid">
        <fgColor rgb="00DDEFEA"/>
        <bgColor rgb="00DDEFEA"/>
      </patternFill>
    </fill>
    <fill>
      <patternFill patternType="solid">
        <fgColor rgb="00E8E3F5"/>
        <bgColor rgb="00E8E3F5"/>
      </patternFill>
    </fill>
    <fill>
      <patternFill patternType="solid">
        <fgColor rgb="00FCE4EC"/>
      </patternFill>
    </fill>
    <fill>
      <patternFill patternType="solid">
        <fgColor rgb="00EDE7F6"/>
      </patternFill>
    </fill>
    <fill>
      <patternFill patternType="solid">
        <fgColor rgb="00E1D5E7"/>
      </patternFill>
    </fill>
    <fill>
      <patternFill patternType="solid">
        <fgColor rgb="00FFF3CD"/>
      </patternFill>
    </fill>
    <fill>
      <patternFill patternType="solid">
        <fgColor rgb="00D5E8D4"/>
      </patternFill>
    </fill>
    <fill>
      <patternFill patternType="solid">
        <fgColor rgb="00EFEBE9"/>
      </patternFill>
    </fill>
    <fill>
      <patternFill patternType="solid">
        <fgColor rgb="00F8D7DA"/>
      </patternFill>
    </fill>
    <fill>
      <patternFill patternType="solid">
        <fgColor rgb="00E0F2F1"/>
      </patternFill>
    </fill>
  </fills>
  <borders count="20">
    <border>
      <left/>
      <right/>
      <top/>
      <bottom/>
      <diagonal/>
    </border>
    <border>
      <left style="thin">
        <color rgb="00D9C5CE"/>
      </left>
      <right style="thin">
        <color rgb="00D9C5CE"/>
      </right>
      <top style="thin">
        <color rgb="00D9C5CE"/>
      </top>
      <bottom style="thin">
        <color rgb="00D9C5CE"/>
      </bottom>
    </border>
    <border>
      <left/>
      <right/>
      <top style="thin">
        <color rgb="00D9C5CE"/>
      </top>
      <bottom/>
      <diagonal/>
    </border>
    <border>
      <left/>
      <right style="thin">
        <color rgb="00D9C5CE"/>
      </right>
      <top style="thin">
        <color rgb="00D9C5CE"/>
      </top>
      <bottom/>
      <diagonal/>
    </border>
    <border>
      <left/>
      <right/>
      <top style="thin">
        <color rgb="00D9C5CE"/>
      </top>
      <bottom style="thin">
        <color rgb="00D9C5CE"/>
      </bottom>
      <diagonal/>
    </border>
    <border>
      <left/>
      <right style="thin">
        <color rgb="00D9C5CE"/>
      </right>
      <top style="thin">
        <color rgb="00D9C5CE"/>
      </top>
      <bottom style="thin">
        <color rgb="00D9C5CE"/>
      </bottom>
      <diagonal/>
    </border>
    <border>
      <left style="thin">
        <color rgb="00D9C5CE"/>
      </left>
      <right style="thin">
        <color rgb="00D9C5CE"/>
      </right>
      <top style="thin">
        <color rgb="00D9C5CE"/>
      </top>
      <bottom style="medium">
        <color rgb="006B214F"/>
      </bottom>
    </border>
    <border>
      <left style="thin">
        <color rgb="00944D73"/>
      </left>
      <top style="thin">
        <color rgb="00944D73"/>
      </top>
    </border>
    <border>
      <right style="thin">
        <color rgb="00944D73"/>
      </right>
      <top style="thin">
        <color rgb="00944D73"/>
      </top>
    </border>
    <border>
      <left style="thin">
        <color rgb="00944D73"/>
      </left>
    </border>
    <border>
      <right style="thin">
        <color rgb="00944D73"/>
      </right>
    </border>
    <border>
      <left style="thin">
        <color rgb="00944D73"/>
      </left>
      <bottom style="thin">
        <color rgb="00944D73"/>
      </bottom>
    </border>
    <border>
      <right style="thin">
        <color rgb="00944D73"/>
      </right>
      <bottom style="thin">
        <color rgb="00944D73"/>
      </bottom>
    </border>
    <border>
      <top style="thin">
        <color rgb="00944D73"/>
      </top>
    </border>
    <border/>
    <border>
      <bottom style="thin">
        <color rgb="00944D73"/>
      </bottom>
    </border>
    <border>
      <left style="thin">
        <color rgb="00D9C5CE"/>
      </left>
      <right style="thin">
        <color rgb="00D9C5CE"/>
      </right>
      <top style="thin">
        <color rgb="00D9C5CE"/>
      </top>
      <bottom style="double">
        <color rgb="006B214F"/>
      </bottom>
    </border>
    <border>
      <left style="thin">
        <color rgb="00944D73"/>
      </left>
      <right style="thin">
        <color rgb="00944D73"/>
      </right>
      <top style="thin">
        <color rgb="00944D73"/>
      </top>
    </border>
    <border>
      <left style="thin">
        <color rgb="00944D73"/>
      </left>
      <right style="thin">
        <color rgb="00944D73"/>
      </right>
    </border>
    <border>
      <left style="thin">
        <color rgb="00944D73"/>
      </left>
      <right style="thin">
        <color rgb="00944D73"/>
      </right>
      <bottom style="thin">
        <color rgb="00944D73"/>
      </bottom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3" fillId="4" borderId="1" applyAlignment="1" pivotButton="0" quotePrefix="0" xfId="0">
      <alignment horizontal="left" vertical="center" indent="1"/>
    </xf>
    <xf numFmtId="0" fontId="0" fillId="4" borderId="1" pivotButton="0" quotePrefix="0" xfId="0"/>
    <xf numFmtId="0" fontId="4" fillId="3" borderId="1" pivotButton="0" quotePrefix="0" xfId="0"/>
    <xf numFmtId="0" fontId="5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5" fillId="0" borderId="1" pivotButton="0" quotePrefix="0" xfId="0"/>
    <xf numFmtId="0" fontId="6" fillId="4" borderId="6" applyAlignment="1" pivotButton="0" quotePrefix="0" xfId="0">
      <alignment horizontal="center" vertical="center"/>
    </xf>
    <xf numFmtId="0" fontId="6" fillId="4" borderId="6" applyAlignment="1" pivotButton="0" quotePrefix="0" xfId="0">
      <alignment horizontal="left" vertical="center"/>
    </xf>
    <xf numFmtId="0" fontId="6" fillId="4" borderId="6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pivotButton="0" quotePrefix="0" xfId="0"/>
    <xf numFmtId="0" fontId="8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5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0" fontId="19" fillId="4" borderId="1" applyAlignment="1" pivotButton="0" quotePrefix="0" xfId="0">
      <alignment horizontal="left" vertical="center" indent="1"/>
    </xf>
    <xf numFmtId="0" fontId="7" fillId="4" borderId="1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 vertical="center"/>
    </xf>
    <xf numFmtId="0" fontId="0" fillId="2" borderId="8" pivotButton="0" quotePrefix="0" xfId="0"/>
    <xf numFmtId="164" fontId="10" fillId="3" borderId="9" applyAlignment="1" pivotButton="0" quotePrefix="0" xfId="0">
      <alignment horizontal="center" vertical="center"/>
    </xf>
    <xf numFmtId="0" fontId="0" fillId="0" borderId="10" pivotButton="0" quotePrefix="0" xfId="0"/>
    <xf numFmtId="165" fontId="10" fillId="3" borderId="9" applyAlignment="1" pivotButton="0" quotePrefix="0" xfId="0">
      <alignment horizontal="center" vertical="center"/>
    </xf>
    <xf numFmtId="3" fontId="10" fillId="3" borderId="9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11" fillId="2" borderId="6" applyAlignment="1" pivotButton="0" quotePrefix="0" xfId="0">
      <alignment horizontal="center" vertical="center"/>
    </xf>
    <xf numFmtId="0" fontId="11" fillId="2" borderId="6" applyAlignment="1" pivotButton="0" quotePrefix="0" xfId="0">
      <alignment horizontal="left" vertical="center"/>
    </xf>
    <xf numFmtId="0" fontId="11" fillId="2" borderId="6" pivotButton="0" quotePrefix="0" xfId="0"/>
    <xf numFmtId="0" fontId="4" fillId="7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1" fillId="2" borderId="0" pivotButton="0" quotePrefix="0" xfId="0"/>
    <xf numFmtId="0" fontId="0" fillId="2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11" fillId="2" borderId="6" applyAlignment="1" pivotButton="0" quotePrefix="0" xfId="0">
      <alignment horizontal="right" vertical="center"/>
    </xf>
    <xf numFmtId="0" fontId="11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4" fillId="0" borderId="1" pivotButton="0" quotePrefix="0" xfId="0"/>
    <xf numFmtId="164" fontId="5" fillId="3" borderId="1" applyAlignment="1" pivotButton="0" quotePrefix="0" xfId="0">
      <alignment horizontal="right" vertical="center"/>
    </xf>
    <xf numFmtId="0" fontId="12" fillId="4" borderId="16" applyAlignment="1" pivotButton="0" quotePrefix="0" xfId="0">
      <alignment horizontal="right" vertical="center"/>
    </xf>
    <xf numFmtId="0" fontId="0" fillId="4" borderId="16" pivotButton="0" quotePrefix="0" xfId="0"/>
    <xf numFmtId="164" fontId="12" fillId="4" borderId="16" applyAlignment="1" pivotButton="0" quotePrefix="0" xfId="0">
      <alignment horizontal="right" vertical="center"/>
    </xf>
    <xf numFmtId="0" fontId="5" fillId="4" borderId="16" applyAlignment="1" pivotButton="0" quotePrefix="0" xfId="0">
      <alignment horizontal="center" vertical="center"/>
    </xf>
    <xf numFmtId="0" fontId="5" fillId="4" borderId="16" applyAlignment="1" pivotButton="0" quotePrefix="0" xfId="0">
      <alignment horizontal="left" vertical="center"/>
    </xf>
    <xf numFmtId="0" fontId="9" fillId="2" borderId="17" applyAlignment="1" pivotButton="0" quotePrefix="0" xfId="0">
      <alignment horizontal="center" vertical="center"/>
    </xf>
    <xf numFmtId="3" fontId="10" fillId="3" borderId="18" applyAlignment="1" pivotButton="0" quotePrefix="0" xfId="0">
      <alignment horizontal="center" vertical="center"/>
    </xf>
    <xf numFmtId="0" fontId="0" fillId="0" borderId="19" pivotButton="0" quotePrefix="0" xfId="0"/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8" pivotButton="0" quotePrefix="0" xfId="0"/>
    <xf numFmtId="0" fontId="4" fillId="4" borderId="9" applyAlignment="1" pivotButton="0" quotePrefix="0" xfId="0">
      <alignment horizontal="center" vertical="center"/>
    </xf>
    <xf numFmtId="0" fontId="13" fillId="3" borderId="11" applyAlignment="1" pivotButton="0" quotePrefix="0" xfId="0">
      <alignment horizontal="left" vertical="center" wrapText="1"/>
    </xf>
    <xf numFmtId="0" fontId="5" fillId="5" borderId="1" pivotButton="0" quotePrefix="0" xfId="0"/>
    <xf numFmtId="0" fontId="5" fillId="6" borderId="1" pivotButton="0" quotePrefix="0" xfId="0"/>
    <xf numFmtId="164" fontId="5" fillId="5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right" vertical="center"/>
    </xf>
    <xf numFmtId="164" fontId="14" fillId="4" borderId="1" applyAlignment="1" pivotButton="0" quotePrefix="0" xfId="0">
      <alignment horizontal="right" vertical="center"/>
    </xf>
    <xf numFmtId="0" fontId="6" fillId="4" borderId="16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Alokasi Anggaran vs Realisasi per Kategori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'03 — BUDGET'!P10</f>
            </strRef>
          </tx>
          <spPr>
            <a:ln>
              <a:prstDash val="solid"/>
            </a:ln>
          </spPr>
          <cat>
            <numRef>
              <f>'03 — BUDGET'!$O$11:$O$22</f>
            </numRef>
          </cat>
          <val>
            <numRef>
              <f>'03 — BUDGET'!$P$11:$P$22</f>
            </numRef>
          </val>
        </ser>
        <ser>
          <idx val="1"/>
          <order val="1"/>
          <tx>
            <strRef>
              <f>'03 — BUDGET'!Q10</f>
            </strRef>
          </tx>
          <spPr>
            <a:ln>
              <a:prstDash val="solid"/>
            </a:ln>
          </spPr>
          <cat>
            <numRef>
              <f>'03 — BUDGET'!$O$11:$O$22</f>
            </numRef>
          </cat>
          <val>
            <numRef>
              <f>'03 — BUDGET'!$Q$11:$Q$22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Kategori Kebutuhan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Rupiah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Status RSVP Tamu Undangan</a:t>
            </a:r>
          </a:p>
        </rich>
      </tx>
    </title>
    <plotArea>
      <doughnutChart>
        <varyColors val="1"/>
        <ser>
          <idx val="0"/>
          <order val="0"/>
          <tx>
            <strRef>
              <f>'02 — DASHBOARD'!N20</f>
            </strRef>
          </tx>
          <spPr>
            <a:ln>
              <a:prstDash val="solid"/>
            </a:ln>
          </spPr>
          <cat>
            <numRef>
              <f>'02 — DASHBOARD'!$M$21:$M$23</f>
            </numRef>
          </cat>
          <val>
            <numRef>
              <f>'02 — DASHBOARD'!$N$21:$N$23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Distribusi Pengeluaran Seserahan</a:t>
            </a:r>
          </a:p>
        </rich>
      </tx>
    </title>
    <plotArea>
      <doughnutChart>
        <varyColors val="1"/>
        <ser>
          <idx val="0"/>
          <order val="0"/>
          <tx>
            <strRef>
              <f>'08 — SESERAHAN'!M10</f>
            </strRef>
          </tx>
          <spPr>
            <a:ln>
              <a:prstDash val="solid"/>
            </a:ln>
          </spPr>
          <cat>
            <numRef>
              <f>'08 — SESERAHAN'!$L$11:$L$18</f>
            </numRef>
          </cat>
          <val>
            <numRef>
              <f>'08 — SESERAHAN'!$M$11:$M$18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19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19</row>
      <rowOff>0</rowOff>
    </from>
    <ext cx="504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19</row>
      <rowOff>0</rowOff>
    </from>
    <ext cx="576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6B214F"/>
    <outlinePr summaryBelow="1" summaryRight="1"/>
    <pageSetUpPr/>
  </sheetPr>
  <dimension ref="B2:I24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8" customWidth="1" min="4" max="4"/>
    <col width="18" customWidth="1" min="5" max="5"/>
    <col width="22" customWidth="1" min="6" max="6"/>
    <col width="18" customWidth="1" min="7" max="7"/>
    <col width="18" customWidth="1" min="8" max="8"/>
    <col width="25" customWidth="1" min="9" max="9"/>
  </cols>
  <sheetData>
    <row r="2" ht="36" customHeight="1">
      <c r="B2" s="1" t="inlineStr">
        <is>
          <t xml:space="preserve">  WEDDING PLANNER  </t>
        </is>
      </c>
      <c r="C2" s="2" t="n"/>
      <c r="D2" s="2" t="n"/>
      <c r="E2" s="2" t="n"/>
      <c r="F2" s="2" t="n"/>
      <c r="G2" s="2" t="n"/>
      <c r="H2" s="2" t="n"/>
      <c r="I2" s="2" t="n"/>
    </row>
    <row r="3" ht="20" customHeight="1">
      <c r="B3" s="3" t="inlineStr">
        <is>
          <t xml:space="preserve">  Semua persiapan pernikahanmu, lebih terarah.  </t>
        </is>
      </c>
      <c r="C3" s="4" t="n"/>
      <c r="D3" s="4" t="n"/>
      <c r="E3" s="4" t="n"/>
      <c r="F3" s="4" t="n"/>
      <c r="G3" s="4" t="n"/>
      <c r="H3" s="4" t="n"/>
      <c r="I3" s="4" t="n"/>
    </row>
    <row r="5" ht="28" customHeight="1">
      <c r="B5" s="5" t="inlineStr">
        <is>
          <t>💍  PANDUAN MEMULAI PERSIAPAN PERNIKAHAN</t>
        </is>
      </c>
      <c r="C5" s="6" t="n"/>
      <c r="D5" s="6" t="n"/>
      <c r="E5" s="6" t="n"/>
      <c r="F5" s="6" t="n"/>
      <c r="G5" s="6" t="n"/>
      <c r="H5" s="6" t="n"/>
      <c r="I5" s="6" t="n"/>
    </row>
    <row r="6" ht="22" customHeight="1">
      <c r="B6" s="7" t="inlineStr">
        <is>
          <t>Nama Pasangan</t>
        </is>
      </c>
      <c r="C6" s="8" t="inlineStr">
        <is>
          <t>Rina &amp; Arif</t>
        </is>
      </c>
      <c r="D6" s="9" t="n"/>
      <c r="E6" s="10" t="n"/>
      <c r="F6" s="7" t="inlineStr">
        <is>
          <t>Tanggal Pernikahan</t>
        </is>
      </c>
      <c r="G6" s="8" t="inlineStr">
        <is>
          <t>12 Oktober 2026</t>
        </is>
      </c>
      <c r="H6" s="9" t="n"/>
      <c r="I6" s="10" t="n"/>
    </row>
    <row r="7" ht="22" customHeight="1">
      <c r="B7" s="7" t="inlineStr">
        <is>
          <t>Lokasi Akad &amp; Resepsi</t>
        </is>
      </c>
      <c r="C7" s="8" t="inlineStr">
        <is>
          <t>Grand Harmony Hotel, Jakarta Selatan</t>
        </is>
      </c>
      <c r="D7" s="9" t="n"/>
      <c r="E7" s="10" t="n"/>
      <c r="F7" s="7" t="inlineStr">
        <is>
          <t>Target Tamu / Kursi</t>
        </is>
      </c>
      <c r="G7" s="8" t="inlineStr">
        <is>
          <t>250 Undangan (500 Tamu / Pax)</t>
        </is>
      </c>
      <c r="H7" s="9" t="n"/>
      <c r="I7" s="10" t="n"/>
    </row>
    <row r="8" ht="22" customHeight="1">
      <c r="B8" s="7" t="inlineStr">
        <is>
          <t>Alokasi Total Budget</t>
        </is>
      </c>
      <c r="C8" s="11" t="n">
        <v>120000000</v>
      </c>
      <c r="D8" s="9" t="n"/>
      <c r="E8" s="10" t="n"/>
      <c r="F8" s="7" t="inlineStr">
        <is>
          <t>Konsep Acara</t>
        </is>
      </c>
      <c r="G8" s="8" t="inlineStr">
        <is>
          <t>Romantic Warm Floral &amp; Intimate Elegance</t>
        </is>
      </c>
      <c r="H8" s="9" t="n"/>
      <c r="I8" s="10" t="n"/>
    </row>
    <row r="10" ht="26" customHeight="1">
      <c r="B10" s="5" t="inlineStr">
        <is>
          <t>📋  7 LANGKAH MUDAH PENGGUNAAN TEMPLATE</t>
        </is>
      </c>
      <c r="C10" s="6" t="n"/>
      <c r="D10" s="6" t="n"/>
      <c r="E10" s="6" t="n"/>
      <c r="F10" s="6" t="n"/>
      <c r="G10" s="6" t="n"/>
      <c r="H10" s="6" t="n"/>
      <c r="I10" s="6" t="n"/>
    </row>
    <row r="11" ht="24" customHeight="1">
      <c r="B11" s="12" t="inlineStr">
        <is>
          <t>NO</t>
        </is>
      </c>
      <c r="C11" s="13" t="inlineStr">
        <is>
          <t>LANGKAH UTAMA</t>
        </is>
      </c>
      <c r="D11" s="12" t="inlineStr">
        <is>
          <t>SHEET TUJUAN</t>
        </is>
      </c>
      <c r="E11" s="13" t="inlineStr">
        <is>
          <t>PANDUAN &amp; CARA MENGISI</t>
        </is>
      </c>
      <c r="F11" s="14" t="n"/>
      <c r="G11" s="14" t="n"/>
      <c r="H11" s="14" t="n"/>
      <c r="I11" s="14" t="n"/>
    </row>
    <row r="12" ht="26" customHeight="1">
      <c r="B12" s="15" t="inlineStr">
        <is>
          <t>1</t>
        </is>
      </c>
      <c r="C12" s="16" t="inlineStr">
        <is>
          <t>Mulai dari Budget</t>
        </is>
      </c>
      <c r="D12" s="17" t="inlineStr">
        <is>
          <t>03 — BUDGET</t>
        </is>
      </c>
      <c r="E12" s="18" t="inlineStr">
        <is>
          <t>Tentukan batas kemampuan dan alokasikan estimasi dana untuk venue, catering, dekorasi, hingga dana darurat.</t>
        </is>
      </c>
      <c r="F12" s="8" t="n"/>
      <c r="G12" s="8" t="n"/>
      <c r="H12" s="8" t="n"/>
      <c r="I12" s="8" t="n"/>
    </row>
    <row r="13" ht="26" customHeight="1">
      <c r="B13" s="19" t="inlineStr">
        <is>
          <t>2</t>
        </is>
      </c>
      <c r="C13" s="20" t="inlineStr">
        <is>
          <t>Cicil Checklist</t>
        </is>
      </c>
      <c r="D13" s="21" t="inlineStr">
        <is>
          <t>04 — CHECKLIST</t>
        </is>
      </c>
      <c r="E13" s="22" t="inlineStr">
        <is>
          <t>Cek tugas berdasarkan fase waktu (12-9 bulan s/d Hari H). Update status saat tugas selesai.</t>
        </is>
      </c>
      <c r="F13" s="23" t="n"/>
      <c r="G13" s="23" t="n"/>
      <c r="H13" s="23" t="n"/>
      <c r="I13" s="23" t="n"/>
    </row>
    <row r="14" ht="26" customHeight="1">
      <c r="B14" s="15" t="inlineStr">
        <is>
          <t>3</t>
        </is>
      </c>
      <c r="C14" s="16" t="inlineStr">
        <is>
          <t>Catat &amp; Kunci Vendor</t>
        </is>
      </c>
      <c r="D14" s="17" t="inlineStr">
        <is>
          <t>06 — VENDOR</t>
        </is>
      </c>
      <c r="E14" s="18" t="inlineStr">
        <is>
          <t>Simpan nomor kontak, tanggal pelunasan, DP yang sudah dibayar, serta rincian kontrak kerja sama.</t>
        </is>
      </c>
      <c r="F14" s="8" t="n"/>
      <c r="G14" s="8" t="n"/>
      <c r="H14" s="8" t="n"/>
      <c r="I14" s="8" t="n"/>
    </row>
    <row r="15" ht="26" customHeight="1">
      <c r="B15" s="19" t="inlineStr">
        <is>
          <t>4</t>
        </is>
      </c>
      <c r="C15" s="20" t="inlineStr">
        <is>
          <t>Susun Daftar Tamu</t>
        </is>
      </c>
      <c r="D15" s="21" t="inlineStr">
        <is>
          <t>07 — GUEST LIST</t>
        </is>
      </c>
      <c r="E15" s="22" t="inlineStr">
        <is>
          <t>Kelompokkan tamu dari CPW/CPP, jenis undangan (cetak/digital), jumlah kursi, dan pantau status RSVP.</t>
        </is>
      </c>
      <c r="F15" s="23" t="n"/>
      <c r="G15" s="23" t="n"/>
      <c r="H15" s="23" t="n"/>
      <c r="I15" s="23" t="n"/>
    </row>
    <row r="16" ht="26" customHeight="1">
      <c r="B16" s="15" t="inlineStr">
        <is>
          <t>5</t>
        </is>
      </c>
      <c r="C16" s="16" t="inlineStr">
        <is>
          <t>Atur Seserahan</t>
        </is>
      </c>
      <c r="D16" s="17" t="inlineStr">
        <is>
          <t>08 — SESERAHAN</t>
        </is>
      </c>
      <c r="E16" s="18" t="inlineStr">
        <is>
          <t>Catat barang seserahan berdasarkan 8 kategori rapi, lengkap dengan brand impian dan anggarannya.</t>
        </is>
      </c>
      <c r="F16" s="8" t="n"/>
      <c r="G16" s="8" t="n"/>
      <c r="H16" s="8" t="n"/>
      <c r="I16" s="8" t="n"/>
    </row>
    <row r="17" ht="26" customHeight="1">
      <c r="B17" s="19" t="inlineStr">
        <is>
          <t>6</t>
        </is>
      </c>
      <c r="C17" s="20" t="inlineStr">
        <is>
          <t>Lengkapi Administrasi</t>
        </is>
      </c>
      <c r="D17" s="21" t="inlineStr">
        <is>
          <t>09 — ADMINISTRASI</t>
        </is>
      </c>
      <c r="E17" s="22" t="inlineStr">
        <is>
          <t>Ikuti checklist berkas KUA/Catatan Sipil dan pahami 6 tahapan alur pendaftaran secara terstruktur.</t>
        </is>
      </c>
      <c r="F17" s="23" t="n"/>
      <c r="G17" s="23" t="n"/>
      <c r="H17" s="23" t="n"/>
      <c r="I17" s="23" t="n"/>
    </row>
    <row r="18" ht="26" customHeight="1">
      <c r="B18" s="15" t="inlineStr">
        <is>
          <t>7</t>
        </is>
      </c>
      <c r="C18" s="16" t="inlineStr">
        <is>
          <t>Pantau di Dashboard</t>
        </is>
      </c>
      <c r="D18" s="17" t="inlineStr">
        <is>
          <t>02 — DASHBOARD</t>
        </is>
      </c>
      <c r="E18" s="18" t="inlineStr">
        <is>
          <t>Lihat gambaran besar persiapan, sisa budget, progress checklist, dan grafik interaktif secara otomatis.</t>
        </is>
      </c>
      <c r="F18" s="8" t="n"/>
      <c r="G18" s="8" t="n"/>
      <c r="H18" s="8" t="n"/>
      <c r="I18" s="8" t="n"/>
    </row>
    <row r="20" ht="26" customHeight="1">
      <c r="B20" s="24" t="inlineStr">
        <is>
          <t>💡  TIPS PENTING WEDDING PLANNING (SIMPLE &amp; REAL)</t>
        </is>
      </c>
      <c r="C20" s="25" t="n"/>
      <c r="D20" s="25" t="n"/>
      <c r="E20" s="25" t="n"/>
      <c r="F20" s="25" t="n"/>
      <c r="G20" s="25" t="n"/>
      <c r="H20" s="25" t="n"/>
      <c r="I20" s="25" t="n"/>
    </row>
    <row r="21" ht="22" customHeight="1">
      <c r="B21" s="26" t="inlineStr">
        <is>
          <t>1. Kunci Tanggal &amp; Venue Terlebih Dahulu: Venue dan tanggal cantik di Indonesia seringkali di-booking 9-12 bulan sebelumnya.</t>
        </is>
      </c>
      <c r="C21" s="27" t="n"/>
      <c r="D21" s="27" t="n"/>
      <c r="E21" s="27" t="n"/>
      <c r="F21" s="27" t="n"/>
      <c r="G21" s="27" t="n"/>
      <c r="H21" s="27" t="n"/>
      <c r="I21" s="27" t="n"/>
    </row>
    <row r="22" ht="22" customHeight="1">
      <c r="B22" s="26" t="inlineStr">
        <is>
          <t>2. Alokasikan Dana Cadangan Minimal 5%: Pengeluaran mendadak selalu terjadi (tambahan porsi keluarga, seragam dadakan, tips kru).</t>
        </is>
      </c>
      <c r="C22" s="27" t="n"/>
      <c r="D22" s="27" t="n"/>
      <c r="E22" s="27" t="n"/>
      <c r="F22" s="27" t="n"/>
      <c r="G22" s="27" t="n"/>
      <c r="H22" s="27" t="n"/>
      <c r="I22" s="27" t="n"/>
    </row>
    <row r="23" ht="22" customHeight="1">
      <c r="B23" s="26" t="inlineStr">
        <is>
          <t>3. Jangan Bayar Pelunasan Sebelum H-14: Simpan termin pelunasan mendekati Hari H setelah seluruh pesanan diverifikasi tuntas.</t>
        </is>
      </c>
      <c r="C23" s="27" t="n"/>
      <c r="D23" s="27" t="n"/>
      <c r="E23" s="27" t="n"/>
      <c r="F23" s="27" t="n"/>
      <c r="G23" s="27" t="n"/>
      <c r="H23" s="27" t="n"/>
      <c r="I23" s="27" t="n"/>
    </row>
    <row r="24" ht="22" customHeight="1">
      <c r="B24" s="26" t="inlineStr">
        <is>
          <t>4. Komunikasi Terbuka dengan Kedua Keluarga: Sepakati sejak awal porsi undangan dan pembagian tanggung jawab agar tetap harmonis.</t>
        </is>
      </c>
      <c r="C24" s="27" t="n"/>
      <c r="D24" s="27" t="n"/>
      <c r="E24" s="27" t="n"/>
      <c r="F24" s="27" t="n"/>
      <c r="G24" s="27" t="n"/>
      <c r="H24" s="27" t="n"/>
      <c r="I24" s="27" t="n"/>
    </row>
  </sheetData>
  <mergeCells count="23">
    <mergeCell ref="E12:I12"/>
    <mergeCell ref="G6:I6"/>
    <mergeCell ref="B3:I3"/>
    <mergeCell ref="B22:I22"/>
    <mergeCell ref="E14:I14"/>
    <mergeCell ref="E17:I17"/>
    <mergeCell ref="B21:I21"/>
    <mergeCell ref="B2:I2"/>
    <mergeCell ref="C8:E8"/>
    <mergeCell ref="E13:I13"/>
    <mergeCell ref="C7:E7"/>
    <mergeCell ref="B23:I23"/>
    <mergeCell ref="E15:I15"/>
    <mergeCell ref="B10:I10"/>
    <mergeCell ref="E11:I11"/>
    <mergeCell ref="C6:E6"/>
    <mergeCell ref="E16:I16"/>
    <mergeCell ref="B24:I24"/>
    <mergeCell ref="B20:I20"/>
    <mergeCell ref="G8:I8"/>
    <mergeCell ref="B5:I5"/>
    <mergeCell ref="G7:I7"/>
    <mergeCell ref="E18:I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E183B"/>
    <outlinePr summaryBelow="1" summaryRight="1"/>
    <pageSetUpPr/>
  </sheetPr>
  <dimension ref="B2:N29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3" customWidth="1" min="12" max="12"/>
    <col width="20" customWidth="1" min="13" max="13"/>
    <col width="12" customWidth="1" min="14" max="14"/>
  </cols>
  <sheetData>
    <row r="2" ht="36" customHeight="1">
      <c r="B2" s="1" t="inlineStr">
        <is>
          <t xml:space="preserve">  WEDDING COMMAND CENTER  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20" customHeight="1">
      <c r="B3" s="3" t="inlineStr">
        <is>
          <t xml:space="preserve">  Pantau seluruh kemajuan persiapan, status anggaran, dan RSVP tamu secara real-time.  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5" ht="28" customHeight="1">
      <c r="B5" s="28" t="inlineStr">
        <is>
          <t>💍  RINA &amp; ARIF  •  12 OKTOBER 2026</t>
        </is>
      </c>
      <c r="C5" s="6" t="n"/>
      <c r="D5" s="6" t="n"/>
      <c r="E5" s="6" t="n"/>
      <c r="F5" s="6" t="n"/>
      <c r="G5" s="29" t="inlineStr">
        <is>
          <t>📍 Grand Harmony Hotel, Jakarta Selatan  •  COUNTDOWN: H-20 HARI</t>
        </is>
      </c>
      <c r="H5" s="6" t="n"/>
      <c r="I5" s="6" t="n"/>
      <c r="J5" s="6" t="n"/>
      <c r="K5" s="6" t="n"/>
    </row>
    <row r="7" ht="20" customHeight="1">
      <c r="B7" s="30" t="inlineStr">
        <is>
          <t>TOTAL ANGGARAN</t>
        </is>
      </c>
      <c r="C7" s="31" t="n"/>
      <c r="D7" s="30" t="inlineStr">
        <is>
          <t>TOTAL REALISASI</t>
        </is>
      </c>
      <c r="E7" s="31" t="n"/>
      <c r="F7" s="30" t="inlineStr">
        <is>
          <t>SISA ANGGARAN</t>
        </is>
      </c>
      <c r="G7" s="31" t="n"/>
      <c r="H7" s="30" t="inlineStr">
        <is>
          <t>PROGRESS CHECKLIST</t>
        </is>
      </c>
      <c r="I7" s="31" t="n"/>
      <c r="J7" s="30" t="inlineStr">
        <is>
          <t>ESTIMASI KURSI HADIR</t>
        </is>
      </c>
      <c r="K7" s="31" t="n"/>
    </row>
    <row r="8" ht="16" customHeight="1">
      <c r="B8" s="32">
        <f>'03 — BUDGET'!B6</f>
        <v/>
      </c>
      <c r="C8" s="33" t="n"/>
      <c r="D8" s="32">
        <f>'03 — BUDGET'!F6</f>
        <v/>
      </c>
      <c r="E8" s="33" t="n"/>
      <c r="F8" s="32">
        <f>'03 — BUDGET'!J6</f>
        <v/>
      </c>
      <c r="G8" s="33" t="n"/>
      <c r="H8" s="34">
        <f>'04 — CHECKLIST'!I6</f>
        <v/>
      </c>
      <c r="I8" s="33" t="n"/>
      <c r="J8" s="35">
        <f>'07 — GUEST LIST'!I6</f>
        <v/>
      </c>
      <c r="K8" s="33" t="n"/>
    </row>
    <row r="9" ht="16" customHeight="1">
      <c r="B9" s="36" t="n"/>
      <c r="C9" s="37" t="n"/>
      <c r="D9" s="36" t="n"/>
      <c r="E9" s="37" t="n"/>
      <c r="F9" s="36" t="n"/>
      <c r="G9" s="37" t="n"/>
      <c r="H9" s="36" t="n"/>
      <c r="I9" s="37" t="n"/>
      <c r="J9" s="36" t="n"/>
      <c r="K9" s="37" t="n"/>
    </row>
    <row r="11" ht="26" customHeight="1">
      <c r="B11" s="5" t="inlineStr">
        <is>
          <t>⚡  NEXT THINGS TO DO (ACTION ITEMS PRIORITAS TINGGI)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2" ht="24" customHeight="1">
      <c r="B12" s="38" t="inlineStr">
        <is>
          <t>NO</t>
        </is>
      </c>
      <c r="C12" s="38" t="inlineStr">
        <is>
          <t>PRIORITAS</t>
        </is>
      </c>
      <c r="D12" s="39" t="inlineStr">
        <is>
          <t>TUGAS &amp; KEGIATAN KRUSIAL</t>
        </is>
      </c>
      <c r="E12" s="40" t="n"/>
      <c r="F12" s="40" t="n"/>
      <c r="G12" s="38" t="inlineStr">
        <is>
          <t>DEADLINE</t>
        </is>
      </c>
      <c r="H12" s="38" t="inlineStr">
        <is>
          <t>STATUS</t>
        </is>
      </c>
      <c r="I12" s="39" t="inlineStr">
        <is>
          <t>PANDUAN EKSEKUSI</t>
        </is>
      </c>
      <c r="J12" s="40" t="n"/>
      <c r="K12" s="40" t="n"/>
    </row>
    <row r="13" ht="22" customHeight="1">
      <c r="B13" s="15" t="n">
        <v>1</v>
      </c>
      <c r="C13" s="41" t="inlineStr">
        <is>
          <t>Tinggi</t>
        </is>
      </c>
      <c r="D13" s="16" t="inlineStr">
        <is>
          <t>Finalisasi rekap data tamu &amp; konfirmasi kursi katering</t>
        </is>
      </c>
      <c r="E13" s="8" t="n"/>
      <c r="F13" s="8" t="n"/>
      <c r="G13" s="15" t="inlineStr">
        <is>
          <t>28 Sep 2026</t>
        </is>
      </c>
      <c r="H13" s="42" t="inlineStr">
        <is>
          <t>Dalam Proses</t>
        </is>
      </c>
      <c r="I13" s="16" t="inlineStr">
        <is>
          <t>Perbarui angka RSVP di sheet 07 — GUEST LIST agar katering akurat</t>
        </is>
      </c>
      <c r="J13" s="8" t="n"/>
      <c r="K13" s="8" t="n"/>
    </row>
    <row r="14" ht="22" customHeight="1">
      <c r="B14" s="19" t="n">
        <v>2</v>
      </c>
      <c r="C14" s="41" t="inlineStr">
        <is>
          <t>Tinggi</t>
        </is>
      </c>
      <c r="D14" s="20" t="inlineStr">
        <is>
          <t>Technical Meeting (TM) seluruh vendor dan kru WO di venue</t>
        </is>
      </c>
      <c r="E14" s="23" t="n"/>
      <c r="F14" s="23" t="n"/>
      <c r="G14" s="19" t="inlineStr">
        <is>
          <t>12 Sep 2026</t>
        </is>
      </c>
      <c r="H14" s="42" t="inlineStr">
        <is>
          <t>Dalam Proses</t>
        </is>
      </c>
      <c r="I14" s="20" t="inlineStr">
        <is>
          <t>Penyelarasan layout dekorasi, panggung, dan audio sound gedung</t>
        </is>
      </c>
      <c r="J14" s="23" t="n"/>
      <c r="K14" s="23" t="n"/>
    </row>
    <row r="15" ht="22" customHeight="1">
      <c r="B15" s="15" t="n">
        <v>3</v>
      </c>
      <c r="C15" s="41" t="inlineStr">
        <is>
          <t>Tinggi</t>
        </is>
      </c>
      <c r="D15" s="16" t="inlineStr">
        <is>
          <t>Pelunasan termin pembayaran vendor utama sebelum H-14</t>
        </is>
      </c>
      <c r="E15" s="8" t="n"/>
      <c r="F15" s="8" t="n"/>
      <c r="G15" s="15" t="inlineStr">
        <is>
          <t>01 Okt 2026</t>
        </is>
      </c>
      <c r="H15" s="42" t="inlineStr">
        <is>
          <t>Belum Mulai</t>
        </is>
      </c>
      <c r="I15" s="16" t="inlineStr">
        <is>
          <t>Pantau sisa tagihan pada sheet 06 — VENDOR</t>
        </is>
      </c>
      <c r="J15" s="8" t="n"/>
      <c r="K15" s="8" t="n"/>
    </row>
    <row r="16" ht="22" customHeight="1">
      <c r="B16" s="19" t="n">
        <v>4</v>
      </c>
      <c r="C16" s="41" t="inlineStr">
        <is>
          <t>Tinggi</t>
        </is>
      </c>
      <c r="D16" s="20" t="inlineStr">
        <is>
          <t>Pengambilan seluruh kotak seserahan hias &amp; mahar frame</t>
        </is>
      </c>
      <c r="E16" s="23" t="n"/>
      <c r="F16" s="23" t="n"/>
      <c r="G16" s="19" t="inlineStr">
        <is>
          <t>03 Okt 2026</t>
        </is>
      </c>
      <c r="H16" s="42" t="inlineStr">
        <is>
          <t>Belum Mulai</t>
        </is>
      </c>
      <c r="I16" s="20" t="inlineStr">
        <is>
          <t>Cek kelengkapan barang pada sheet 08 — SESERAHAN</t>
        </is>
      </c>
      <c r="J16" s="23" t="n"/>
      <c r="K16" s="23" t="n"/>
    </row>
    <row r="17" ht="22" customHeight="1">
      <c r="B17" s="15" t="n">
        <v>5</v>
      </c>
      <c r="C17" s="41" t="inlineStr">
        <is>
          <t>Tinggi</t>
        </is>
      </c>
      <c r="D17" s="16" t="inlineStr">
        <is>
          <t>Verifikasi berkas fisik dan kehadiran di KUA bersama wali</t>
        </is>
      </c>
      <c r="E17" s="8" t="n"/>
      <c r="F17" s="8" t="n"/>
      <c r="G17" s="15" t="inlineStr">
        <is>
          <t>28 Sep 2026</t>
        </is>
      </c>
      <c r="H17" s="42" t="inlineStr">
        <is>
          <t>Dalam Proses</t>
        </is>
      </c>
      <c r="I17" s="16" t="inlineStr">
        <is>
          <t>Pastikan seluruh syarat pada sheet 09 — ADMINISTRASI lengkap</t>
        </is>
      </c>
      <c r="J17" s="8" t="n"/>
      <c r="K17" s="8" t="n"/>
    </row>
    <row r="18" ht="22" customHeight="1">
      <c r="B18" s="19" t="n">
        <v>6</v>
      </c>
      <c r="C18" s="41" t="inlineStr">
        <is>
          <t>Sedang</t>
        </is>
      </c>
      <c r="D18" s="20" t="inlineStr">
        <is>
          <t>Gladi resik akad nikah &amp; pembacaan ijab qobul khidmat</t>
        </is>
      </c>
      <c r="E18" s="23" t="n"/>
      <c r="F18" s="23" t="n"/>
      <c r="G18" s="19" t="inlineStr">
        <is>
          <t>07 Okt 2026</t>
        </is>
      </c>
      <c r="H18" s="42" t="inlineStr">
        <is>
          <t>Belum Mulai</t>
        </is>
      </c>
      <c r="I18" s="20" t="inlineStr">
        <is>
          <t>Simulasi bersama calon pengantin, wali nikah, dan saksi</t>
        </is>
      </c>
      <c r="J18" s="23" t="n"/>
      <c r="K18" s="23" t="n"/>
    </row>
    <row r="20">
      <c r="M20" s="43" t="inlineStr">
        <is>
          <t>STATUS RSVP</t>
        </is>
      </c>
      <c r="N20" s="43" t="inlineStr">
        <is>
          <t>JUMLAH</t>
        </is>
      </c>
    </row>
    <row r="21">
      <c r="M21" s="8" t="inlineStr">
        <is>
          <t>Konfirmasi Hadir</t>
        </is>
      </c>
      <c r="N21" s="15">
        <f>'07 — GUEST LIST'!F6</f>
        <v/>
      </c>
    </row>
    <row r="22">
      <c r="M22" s="8" t="inlineStr">
        <is>
          <t>Belum Konfirmasi</t>
        </is>
      </c>
      <c r="N22" s="15">
        <f>'07 — GUEST LIST'!G6</f>
        <v/>
      </c>
    </row>
    <row r="23">
      <c r="M23" s="8" t="inlineStr">
        <is>
          <t>Tidak Hadir</t>
        </is>
      </c>
      <c r="N23" s="15">
        <f>'07 — GUEST LIST'!H6</f>
        <v/>
      </c>
    </row>
    <row r="26">
      <c r="M26" s="43" t="inlineStr">
        <is>
          <t>STATUS CHECKLIST</t>
        </is>
      </c>
      <c r="N26" s="43" t="inlineStr">
        <is>
          <t>JUMLAH</t>
        </is>
      </c>
    </row>
    <row r="27">
      <c r="M27" s="8" t="inlineStr">
        <is>
          <t>Selesai</t>
        </is>
      </c>
      <c r="N27" s="15">
        <f>'04 — CHECKLIST'!D6</f>
        <v/>
      </c>
    </row>
    <row r="28">
      <c r="M28" s="8" t="inlineStr">
        <is>
          <t>Dalam Proses</t>
        </is>
      </c>
      <c r="N28" s="15">
        <f>'04 — CHECKLIST'!F6</f>
        <v/>
      </c>
    </row>
    <row r="29">
      <c r="M29" s="8" t="inlineStr">
        <is>
          <t>Belum Mulai</t>
        </is>
      </c>
      <c r="N29" s="15">
        <f>'04 — CHECKLIST'!H6</f>
        <v/>
      </c>
    </row>
  </sheetData>
  <mergeCells count="29">
    <mergeCell ref="I16:K16"/>
    <mergeCell ref="F8:G9"/>
    <mergeCell ref="D13:F13"/>
    <mergeCell ref="B7:C7"/>
    <mergeCell ref="D17:F17"/>
    <mergeCell ref="I12:K12"/>
    <mergeCell ref="I18:K18"/>
    <mergeCell ref="D16:F16"/>
    <mergeCell ref="F7:G7"/>
    <mergeCell ref="D8:E9"/>
    <mergeCell ref="I14:K14"/>
    <mergeCell ref="D12:F12"/>
    <mergeCell ref="D18:F18"/>
    <mergeCell ref="I17:K17"/>
    <mergeCell ref="H8:I9"/>
    <mergeCell ref="D15:F15"/>
    <mergeCell ref="J8:K9"/>
    <mergeCell ref="B3:K3"/>
    <mergeCell ref="D14:F14"/>
    <mergeCell ref="D7:E7"/>
    <mergeCell ref="I13:K13"/>
    <mergeCell ref="H7:I7"/>
    <mergeCell ref="J7:K7"/>
    <mergeCell ref="G5:K5"/>
    <mergeCell ref="B2:K2"/>
    <mergeCell ref="B11:K11"/>
    <mergeCell ref="I15:K15"/>
    <mergeCell ref="B8:C9"/>
    <mergeCell ref="B5:F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96A91"/>
    <outlinePr summaryBelow="1" summaryRight="1"/>
    <pageSetUpPr/>
  </sheetPr>
  <dimension ref="B2:Q42"/>
  <sheetViews>
    <sheetView showGridLines="1"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20" customWidth="1" min="3" max="3"/>
    <col width="34" customWidth="1" min="4" max="4"/>
    <col width="25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5" customWidth="1" min="12" max="12"/>
    <col width="42" customWidth="1" min="13" max="13"/>
    <col width="3" customWidth="1" min="14" max="14"/>
    <col width="22" customWidth="1" min="15" max="15"/>
    <col width="16" customWidth="1" min="16" max="16"/>
    <col width="16" customWidth="1" min="17" max="17"/>
  </cols>
  <sheetData>
    <row r="2" ht="36" customHeight="1">
      <c r="B2" s="1" t="inlineStr">
        <is>
          <t xml:space="preserve">  BUDGET PERNIKAHAN  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0" customHeight="1">
      <c r="B3" s="3" t="inlineStr">
        <is>
          <t xml:space="preserve">  Rincian alokasi dana, estimasi vendor, pembayaran DP, dan realisasi pengeluaran.  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</row>
    <row r="5" ht="20" customHeight="1">
      <c r="B5" s="30" t="inlineStr">
        <is>
          <t>TOTAL ANGGARAN</t>
        </is>
      </c>
      <c r="C5" s="31" t="n"/>
      <c r="D5" s="30" t="inlineStr">
        <is>
          <t>TOTAL ESTIMASI</t>
        </is>
      </c>
      <c r="E5" s="31" t="n"/>
      <c r="F5" s="30" t="inlineStr">
        <is>
          <t>TOTAL REALISASI</t>
        </is>
      </c>
      <c r="G5" s="31" t="n"/>
      <c r="H5" s="30" t="inlineStr">
        <is>
          <t>TOTAL DP DIBAYAR</t>
        </is>
      </c>
      <c r="I5" s="31" t="n"/>
      <c r="J5" s="30" t="inlineStr">
        <is>
          <t>SISA BUDGET (ANGGARAN - REALISASI)</t>
        </is>
      </c>
      <c r="K5" s="44" t="n"/>
      <c r="L5" s="44" t="n"/>
      <c r="M5" s="31" t="n"/>
    </row>
    <row r="6" ht="16" customHeight="1">
      <c r="B6" s="32">
        <f>SUM(G11:G41)</f>
        <v/>
      </c>
      <c r="C6" s="33" t="n"/>
      <c r="D6" s="32">
        <f>SUM(H11:H41)</f>
        <v/>
      </c>
      <c r="E6" s="33" t="n"/>
      <c r="F6" s="32">
        <f>SUM(I11:I41)</f>
        <v/>
      </c>
      <c r="G6" s="33" t="n"/>
      <c r="H6" s="32">
        <f>SUM(J11:J41)</f>
        <v/>
      </c>
      <c r="I6" s="33" t="n"/>
      <c r="J6" s="32">
        <f>B6-F6</f>
        <v/>
      </c>
      <c r="K6" s="45" t="n"/>
      <c r="L6" s="45" t="n"/>
      <c r="M6" s="33" t="n"/>
    </row>
    <row r="7" ht="16" customHeight="1">
      <c r="B7" s="36" t="n"/>
      <c r="C7" s="37" t="n"/>
      <c r="D7" s="36" t="n"/>
      <c r="E7" s="37" t="n"/>
      <c r="F7" s="36" t="n"/>
      <c r="G7" s="37" t="n"/>
      <c r="H7" s="36" t="n"/>
      <c r="I7" s="37" t="n"/>
      <c r="J7" s="36" t="n"/>
      <c r="K7" s="46" t="n"/>
      <c r="L7" s="46" t="n"/>
      <c r="M7" s="37" t="n"/>
    </row>
    <row r="10" ht="26" customHeight="1">
      <c r="B10" s="38" t="inlineStr">
        <is>
          <t>NO</t>
        </is>
      </c>
      <c r="C10" s="39" t="inlineStr">
        <is>
          <t>KATEGORI</t>
        </is>
      </c>
      <c r="D10" s="39" t="inlineStr">
        <is>
          <t>ITEM KEBUTUHAN</t>
        </is>
      </c>
      <c r="E10" s="39" t="inlineStr">
        <is>
          <t>REKOMENDASI VENDOR</t>
        </is>
      </c>
      <c r="F10" s="38" t="inlineStr">
        <is>
          <t>QTY / SATUAN</t>
        </is>
      </c>
      <c r="G10" s="47" t="inlineStr">
        <is>
          <t>ANGGARAN</t>
        </is>
      </c>
      <c r="H10" s="47" t="inlineStr">
        <is>
          <t>ESTIMASI</t>
        </is>
      </c>
      <c r="I10" s="47" t="inlineStr">
        <is>
          <t>REALISASI</t>
        </is>
      </c>
      <c r="J10" s="47" t="inlineStr">
        <is>
          <t>DP DIBAYAR</t>
        </is>
      </c>
      <c r="K10" s="47" t="inlineStr">
        <is>
          <t>SISA BUDGET</t>
        </is>
      </c>
      <c r="L10" s="38" t="inlineStr">
        <is>
          <t>STATUS</t>
        </is>
      </c>
      <c r="M10" s="39" t="inlineStr">
        <is>
          <t>CATATAN / DETAIL</t>
        </is>
      </c>
      <c r="O10" s="48" t="inlineStr">
        <is>
          <t>KATEGORI</t>
        </is>
      </c>
      <c r="P10" s="49" t="inlineStr">
        <is>
          <t>ANGGARAN</t>
        </is>
      </c>
      <c r="Q10" s="49" t="inlineStr">
        <is>
          <t>REALISASI</t>
        </is>
      </c>
    </row>
    <row r="11" ht="20" customHeight="1">
      <c r="B11" s="15" t="n">
        <v>1</v>
      </c>
      <c r="C11" s="16" t="inlineStr">
        <is>
          <t>Venue &amp; Gedung</t>
        </is>
      </c>
      <c r="D11" s="16" t="inlineStr">
        <is>
          <t>Sewa Grand Harmony Ballroom</t>
        </is>
      </c>
      <c r="E11" s="16" t="inlineStr">
        <is>
          <t>Grand Harmony Hotel</t>
        </is>
      </c>
      <c r="F11" s="15" t="inlineStr">
        <is>
          <t>1 Paket (6 Jam)</t>
        </is>
      </c>
      <c r="G11" s="50" t="n">
        <v>18000000</v>
      </c>
      <c r="H11" s="50" t="n">
        <v>17500000</v>
      </c>
      <c r="I11" s="50" t="n">
        <v>17500000</v>
      </c>
      <c r="J11" s="50" t="n">
        <v>10000000</v>
      </c>
      <c r="K11" s="50">
        <f>G11-I11</f>
        <v/>
      </c>
      <c r="L11" s="15" t="inlineStr">
        <is>
          <t>Booked</t>
        </is>
      </c>
      <c r="M11" s="16" t="inlineStr">
        <is>
          <t>Include AC, panggung, listrik 10.000 watt, 2 ruang rias</t>
        </is>
      </c>
      <c r="O11" s="51" t="inlineStr">
        <is>
          <t>Venue &amp; Gedung</t>
        </is>
      </c>
      <c r="P11" s="50">
        <f>SUMIF($C$11:$C$41, "Venue &amp; Gedung", $G$11:$G$41)</f>
        <v/>
      </c>
      <c r="Q11" s="50">
        <f>SUMIF($C$11:$C$41, "Venue &amp; Gedung", $I$11:$I$41)</f>
        <v/>
      </c>
    </row>
    <row r="12" ht="20" customHeight="1">
      <c r="B12" s="19" t="n">
        <v>2</v>
      </c>
      <c r="C12" s="20" t="inlineStr">
        <is>
          <t>Venue &amp; Gedung</t>
        </is>
      </c>
      <c r="D12" s="20" t="inlineStr">
        <is>
          <t>Biaya Kebersihan &amp; Keamanan Gedung</t>
        </is>
      </c>
      <c r="E12" s="20" t="inlineStr">
        <is>
          <t>Pengelola Gedung</t>
        </is>
      </c>
      <c r="F12" s="19" t="inlineStr">
        <is>
          <t>1 Kali</t>
        </is>
      </c>
      <c r="G12" s="52" t="n">
        <v>1500000</v>
      </c>
      <c r="H12" s="52" t="n">
        <v>1500000</v>
      </c>
      <c r="I12" s="52" t="n">
        <v>1500000</v>
      </c>
      <c r="J12" s="52" t="n">
        <v>1500000</v>
      </c>
      <c r="K12" s="52">
        <f>G12-I12</f>
        <v/>
      </c>
      <c r="L12" s="19" t="inlineStr">
        <is>
          <t>Lunas</t>
        </is>
      </c>
      <c r="M12" s="20" t="inlineStr">
        <is>
          <t>Wajib disetor H-14</t>
        </is>
      </c>
      <c r="O12" s="51" t="inlineStr">
        <is>
          <t>Catering</t>
        </is>
      </c>
      <c r="P12" s="50">
        <f>SUMIF($C$11:$C$41, "Catering", $G$11:$G$41)</f>
        <v/>
      </c>
      <c r="Q12" s="50">
        <f>SUMIF($C$11:$C$41, "Catering", $I$11:$I$41)</f>
        <v/>
      </c>
    </row>
    <row r="13" ht="20" customHeight="1">
      <c r="B13" s="15" t="n">
        <v>3</v>
      </c>
      <c r="C13" s="16" t="inlineStr">
        <is>
          <t>Catering</t>
        </is>
      </c>
      <c r="D13" s="16" t="inlineStr">
        <is>
          <t>Buffet Utama Nusantara (500 pax)</t>
        </is>
      </c>
      <c r="E13" s="16" t="inlineStr">
        <is>
          <t>Sari Rasa Catering</t>
        </is>
      </c>
      <c r="F13" s="15" t="inlineStr">
        <is>
          <t>500 Pax</t>
        </is>
      </c>
      <c r="G13" s="50" t="n">
        <v>32500000</v>
      </c>
      <c r="H13" s="50" t="n">
        <v>31000000</v>
      </c>
      <c r="I13" s="50" t="n">
        <v>31000000</v>
      </c>
      <c r="J13" s="50" t="n">
        <v>15000000</v>
      </c>
      <c r="K13" s="50">
        <f>G13-I13</f>
        <v/>
      </c>
      <c r="L13" s="15" t="inlineStr">
        <is>
          <t>Booked</t>
        </is>
      </c>
      <c r="M13" s="16" t="inlineStr">
        <is>
          <t>Menu 6 lauk utama + sop + nasi + puding + buah segar</t>
        </is>
      </c>
      <c r="O13" s="51" t="inlineStr">
        <is>
          <t>Dekorasi</t>
        </is>
      </c>
      <c r="P13" s="50">
        <f>SUMIF($C$11:$C$41, "Dekorasi", $G$11:$G$41)</f>
        <v/>
      </c>
      <c r="Q13" s="50">
        <f>SUMIF($C$11:$C$41, "Dekorasi", $I$11:$I$41)</f>
        <v/>
      </c>
    </row>
    <row r="14" ht="20" customHeight="1">
      <c r="B14" s="19" t="n">
        <v>4</v>
      </c>
      <c r="C14" s="20" t="inlineStr">
        <is>
          <t>Catering</t>
        </is>
      </c>
      <c r="D14" s="20" t="inlineStr">
        <is>
          <t>Food Stall: Sate Ayam &amp; Siomay</t>
        </is>
      </c>
      <c r="E14" s="20" t="inlineStr">
        <is>
          <t>Sari Rasa Catering</t>
        </is>
      </c>
      <c r="F14" s="19" t="inlineStr">
        <is>
          <t>300 Porsi</t>
        </is>
      </c>
      <c r="G14" s="52" t="n">
        <v>5500000</v>
      </c>
      <c r="H14" s="52" t="n">
        <v>5200000</v>
      </c>
      <c r="I14" s="52" t="n">
        <v>5200000</v>
      </c>
      <c r="J14" s="52" t="n">
        <v>2500000</v>
      </c>
      <c r="K14" s="52">
        <f>G14-I14</f>
        <v/>
      </c>
      <c r="L14" s="19" t="inlineStr">
        <is>
          <t>Booked</t>
        </is>
      </c>
      <c r="M14" s="20" t="inlineStr">
        <is>
          <t>200 porsi sate + 100 porsi siomay Bandung</t>
        </is>
      </c>
      <c r="O14" s="51" t="inlineStr">
        <is>
          <t>MUA &amp; Busana</t>
        </is>
      </c>
      <c r="P14" s="50">
        <f>SUMIF($C$11:$C$41, "MUA &amp; Busana", $G$11:$G$41)</f>
        <v/>
      </c>
      <c r="Q14" s="50">
        <f>SUMIF($C$11:$C$41, "MUA &amp; Busana", $I$11:$I$41)</f>
        <v/>
      </c>
    </row>
    <row r="15" ht="20" customHeight="1">
      <c r="B15" s="15" t="n">
        <v>5</v>
      </c>
      <c r="C15" s="16" t="inlineStr">
        <is>
          <t>Catering</t>
        </is>
      </c>
      <c r="D15" s="16" t="inlineStr">
        <is>
          <t>Food Stall: Zuppa Soup &amp; Kambing Guling</t>
        </is>
      </c>
      <c r="E15" s="16" t="inlineStr">
        <is>
          <t>Sari Rasa Catering</t>
        </is>
      </c>
      <c r="F15" s="15" t="inlineStr">
        <is>
          <t>200 Porsi</t>
        </is>
      </c>
      <c r="G15" s="50" t="n">
        <v>6000000</v>
      </c>
      <c r="H15" s="50" t="n">
        <v>5800000</v>
      </c>
      <c r="I15" s="50" t="n">
        <v>5800000</v>
      </c>
      <c r="J15" s="50" t="n">
        <v>3000000</v>
      </c>
      <c r="K15" s="50">
        <f>G15-I15</f>
        <v/>
      </c>
      <c r="L15" s="15" t="inlineStr">
        <is>
          <t>Booked</t>
        </is>
      </c>
      <c r="M15" s="16" t="inlineStr">
        <is>
          <t>Favorit tamu undangan</t>
        </is>
      </c>
      <c r="O15" s="51" t="inlineStr">
        <is>
          <t>Dokumentasi</t>
        </is>
      </c>
      <c r="P15" s="50">
        <f>SUMIF($C$11:$C$41, "Dokumentasi", $G$11:$G$41)</f>
        <v/>
      </c>
      <c r="Q15" s="50">
        <f>SUMIF($C$11:$C$41, "Dokumentasi", $I$11:$I$41)</f>
        <v/>
      </c>
    </row>
    <row r="16" ht="20" customHeight="1">
      <c r="B16" s="19" t="n">
        <v>6</v>
      </c>
      <c r="C16" s="20" t="inlineStr">
        <is>
          <t>Catering</t>
        </is>
      </c>
      <c r="D16" s="20" t="inlineStr">
        <is>
          <t>Dessert Bar &amp; Ice Cream Corner</t>
        </is>
      </c>
      <c r="E16" s="20" t="inlineStr">
        <is>
          <t>Gelato Bliss</t>
        </is>
      </c>
      <c r="F16" s="19" t="inlineStr">
        <is>
          <t>250 Cup</t>
        </is>
      </c>
      <c r="G16" s="52" t="n">
        <v>2500000</v>
      </c>
      <c r="H16" s="52" t="n">
        <v>2200000</v>
      </c>
      <c r="I16" s="52" t="n">
        <v>2200000</v>
      </c>
      <c r="J16" s="52" t="n">
        <v>1000000</v>
      </c>
      <c r="K16" s="52">
        <f>G16-I16</f>
        <v/>
      </c>
      <c r="L16" s="19" t="inlineStr">
        <is>
          <t>Booked</t>
        </is>
      </c>
      <c r="M16" s="20" t="inlineStr">
        <is>
          <t>5 varian rasa gelato premium</t>
        </is>
      </c>
      <c r="O16" s="51" t="inlineStr">
        <is>
          <t>Undangan &amp; Souvenir</t>
        </is>
      </c>
      <c r="P16" s="50">
        <f>SUMIF($C$11:$C$41, "Undangan &amp; Souvenir", $G$11:$G$41)</f>
        <v/>
      </c>
      <c r="Q16" s="50">
        <f>SUMIF($C$11:$C$41, "Undangan &amp; Souvenir", $I$11:$I$41)</f>
        <v/>
      </c>
    </row>
    <row r="17" ht="20" customHeight="1">
      <c r="B17" s="15" t="n">
        <v>7</v>
      </c>
      <c r="C17" s="16" t="inlineStr">
        <is>
          <t>Dekorasi</t>
        </is>
      </c>
      <c r="D17" s="16" t="inlineStr">
        <is>
          <t>Pelaminan Modern Floral (8 Meter)</t>
        </is>
      </c>
      <c r="E17" s="16" t="inlineStr">
        <is>
          <t>Bloom &amp; Co. Atelier</t>
        </is>
      </c>
      <c r="F17" s="15" t="inlineStr">
        <is>
          <t>1 Paket</t>
        </is>
      </c>
      <c r="G17" s="50" t="n">
        <v>9000000</v>
      </c>
      <c r="H17" s="50" t="n">
        <v>8500000</v>
      </c>
      <c r="I17" s="50" t="n">
        <v>8500000</v>
      </c>
      <c r="J17" s="50" t="n">
        <v>5000000</v>
      </c>
      <c r="K17" s="50">
        <f>G17-I17</f>
        <v/>
      </c>
      <c r="L17" s="15" t="inlineStr">
        <is>
          <t>Booked</t>
        </is>
      </c>
      <c r="M17" s="16" t="inlineStr">
        <is>
          <t>Kombinasi fresh flowers &amp; artificial premium</t>
        </is>
      </c>
      <c r="O17" s="51" t="inlineStr">
        <is>
          <t>Entertainment</t>
        </is>
      </c>
      <c r="P17" s="50">
        <f>SUMIF($C$11:$C$41, "Entertainment", $G$11:$G$41)</f>
        <v/>
      </c>
      <c r="Q17" s="50">
        <f>SUMIF($C$11:$C$41, "Entertainment", $I$11:$I$41)</f>
        <v/>
      </c>
    </row>
    <row r="18" ht="20" customHeight="1">
      <c r="B18" s="19" t="n">
        <v>8</v>
      </c>
      <c r="C18" s="20" t="inlineStr">
        <is>
          <t>Dekorasi</t>
        </is>
      </c>
      <c r="D18" s="20" t="inlineStr">
        <is>
          <t>Dekorasi Lorong Masuk &amp; Photo Booth</t>
        </is>
      </c>
      <c r="E18" s="20" t="inlineStr">
        <is>
          <t>Bloom &amp; Co. Atelier</t>
        </is>
      </c>
      <c r="F18" s="19" t="inlineStr">
        <is>
          <t>1 Paket</t>
        </is>
      </c>
      <c r="G18" s="52" t="n">
        <v>3500000</v>
      </c>
      <c r="H18" s="52" t="n">
        <v>3000000</v>
      </c>
      <c r="I18" s="52" t="n">
        <v>3000000</v>
      </c>
      <c r="J18" s="52" t="n">
        <v>1500000</v>
      </c>
      <c r="K18" s="52">
        <f>G18-I18</f>
        <v/>
      </c>
      <c r="L18" s="19" t="inlineStr">
        <is>
          <t>Booked</t>
        </is>
      </c>
      <c r="M18" s="20" t="inlineStr">
        <is>
          <t>Spot photo gallery 6 frame estetik</t>
        </is>
      </c>
      <c r="O18" s="51" t="inlineStr">
        <is>
          <t>Wedding Organizer</t>
        </is>
      </c>
      <c r="P18" s="50">
        <f>SUMIF($C$11:$C$41, "Wedding Organizer", $G$11:$G$41)</f>
        <v/>
      </c>
      <c r="Q18" s="50">
        <f>SUMIF($C$11:$C$41, "Wedding Organizer", $I$11:$I$41)</f>
        <v/>
      </c>
    </row>
    <row r="19" ht="20" customHeight="1">
      <c r="B19" s="15" t="n">
        <v>9</v>
      </c>
      <c r="C19" s="16" t="inlineStr">
        <is>
          <t>Dekorasi</t>
        </is>
      </c>
      <c r="D19" s="16" t="inlineStr">
        <is>
          <t>Lighting Ambience &amp; Karpet Jalan</t>
        </is>
      </c>
      <c r="E19" s="16" t="inlineStr">
        <is>
          <t>Bloom &amp; Co. Atelier</t>
        </is>
      </c>
      <c r="F19" s="15" t="inlineStr">
        <is>
          <t>1 Set</t>
        </is>
      </c>
      <c r="G19" s="50" t="n">
        <v>2000000</v>
      </c>
      <c r="H19" s="50" t="n">
        <v>1800000</v>
      </c>
      <c r="I19" s="50" t="n">
        <v>1800000</v>
      </c>
      <c r="J19" s="50" t="n">
        <v>1000000</v>
      </c>
      <c r="K19" s="50">
        <f>G19-I19</f>
        <v/>
      </c>
      <c r="L19" s="15" t="inlineStr">
        <is>
          <t>Booked</t>
        </is>
      </c>
      <c r="M19" s="16" t="inlineStr">
        <is>
          <t>Warm white ambiance + spotlight pelaminan</t>
        </is>
      </c>
      <c r="O19" s="51" t="inlineStr">
        <is>
          <t>Seserahan &amp; Mahar</t>
        </is>
      </c>
      <c r="P19" s="50">
        <f>SUMIF($C$11:$C$41, "Seserahan &amp; Mahar", $G$11:$G$41)</f>
        <v/>
      </c>
      <c r="Q19" s="50">
        <f>SUMIF($C$11:$C$41, "Seserahan &amp; Mahar", $I$11:$I$41)</f>
        <v/>
      </c>
    </row>
    <row r="20" ht="20" customHeight="1">
      <c r="B20" s="19" t="n">
        <v>10</v>
      </c>
      <c r="C20" s="20" t="inlineStr">
        <is>
          <t>MUA &amp; Busana</t>
        </is>
      </c>
      <c r="D20" s="20" t="inlineStr">
        <is>
          <t>Paket Rias Pengantin Akad &amp; Resepsi</t>
        </is>
      </c>
      <c r="E20" s="20" t="inlineStr">
        <is>
          <t>Nadia Beauty MUA</t>
        </is>
      </c>
      <c r="F20" s="19" t="inlineStr">
        <is>
          <t>1 Pasang</t>
        </is>
      </c>
      <c r="G20" s="52" t="n">
        <v>4000000</v>
      </c>
      <c r="H20" s="52" t="n">
        <v>3800000</v>
      </c>
      <c r="I20" s="52" t="n">
        <v>3800000</v>
      </c>
      <c r="J20" s="52" t="n">
        <v>2000000</v>
      </c>
      <c r="K20" s="52">
        <f>G20-I20</f>
        <v/>
      </c>
      <c r="L20" s="19" t="inlineStr">
        <is>
          <t>Booked</t>
        </is>
      </c>
      <c r="M20" s="20" t="inlineStr">
        <is>
          <t>Include hijab do/hair do &amp; touch up sampai acara usai</t>
        </is>
      </c>
      <c r="O20" s="51" t="inlineStr">
        <is>
          <t>Transport &amp; Hotel</t>
        </is>
      </c>
      <c r="P20" s="50">
        <f>SUMIF($C$11:$C$41, "Transport &amp; Hotel", $G$11:$G$41)</f>
        <v/>
      </c>
      <c r="Q20" s="50">
        <f>SUMIF($C$11:$C$41, "Transport &amp; Hotel", $I$11:$I$41)</f>
        <v/>
      </c>
    </row>
    <row r="21" ht="20" customHeight="1">
      <c r="B21" s="15" t="n">
        <v>11</v>
      </c>
      <c r="C21" s="16" t="inlineStr">
        <is>
          <t>MUA &amp; Busana</t>
        </is>
      </c>
      <c r="D21" s="16" t="inlineStr">
        <is>
          <t>Sewa Kebaya &amp; Beskap Pengantin</t>
        </is>
      </c>
      <c r="E21" s="16" t="inlineStr">
        <is>
          <t>Sanggar Rias Ayu</t>
        </is>
      </c>
      <c r="F21" s="15" t="inlineStr">
        <is>
          <t>2 Pasang</t>
        </is>
      </c>
      <c r="G21" s="50" t="n">
        <v>3500000</v>
      </c>
      <c r="H21" s="50" t="n">
        <v>3200000</v>
      </c>
      <c r="I21" s="50" t="n">
        <v>3200000</v>
      </c>
      <c r="J21" s="50" t="n">
        <v>2000000</v>
      </c>
      <c r="K21" s="50">
        <f>G21-I21</f>
        <v/>
      </c>
      <c r="L21" s="15" t="inlineStr">
        <is>
          <t>Booked</t>
        </is>
      </c>
      <c r="M21" s="16" t="inlineStr">
        <is>
          <t>Kebaya putih akad + gaun resepsi terracotta rose</t>
        </is>
      </c>
      <c r="O21" s="51" t="inlineStr">
        <is>
          <t>Administrasi</t>
        </is>
      </c>
      <c r="P21" s="50">
        <f>SUMIF($C$11:$C$41, "Administrasi", $G$11:$G$41)</f>
        <v/>
      </c>
      <c r="Q21" s="50">
        <f>SUMIF($C$11:$C$41, "Administrasi", $I$11:$I$41)</f>
        <v/>
      </c>
    </row>
    <row r="22" ht="20" customHeight="1">
      <c r="B22" s="19" t="n">
        <v>12</v>
      </c>
      <c r="C22" s="20" t="inlineStr">
        <is>
          <t>MUA &amp; Busana</t>
        </is>
      </c>
      <c r="D22" s="20" t="inlineStr">
        <is>
          <t>Rias &amp; Busana Orang Tua (4 Orang)</t>
        </is>
      </c>
      <c r="E22" s="20" t="inlineStr">
        <is>
          <t>Sanggar Rias Ayu</t>
        </is>
      </c>
      <c r="F22" s="19" t="inlineStr">
        <is>
          <t>4 Orang</t>
        </is>
      </c>
      <c r="G22" s="52" t="n">
        <v>2500000</v>
      </c>
      <c r="H22" s="52" t="n">
        <v>2400000</v>
      </c>
      <c r="I22" s="52" t="n">
        <v>2400000</v>
      </c>
      <c r="J22" s="52" t="n">
        <v>1200000</v>
      </c>
      <c r="K22" s="52">
        <f>G22-I22</f>
        <v/>
      </c>
      <c r="L22" s="19" t="inlineStr">
        <is>
          <t>Booked</t>
        </is>
      </c>
      <c r="M22" s="20" t="inlineStr">
        <is>
          <t>Seragam kebaya ibu &amp; beskap bapak</t>
        </is>
      </c>
      <c r="O22" s="51" t="inlineStr">
        <is>
          <t>Honeymoon &amp; Cadangan</t>
        </is>
      </c>
      <c r="P22" s="50">
        <f>SUMIF($C$11:$C$41, "Honeymoon &amp; Cadangan", $G$11:$G$41)</f>
        <v/>
      </c>
      <c r="Q22" s="50">
        <f>SUMIF($C$11:$C$41, "Honeymoon &amp; Cadangan", $I$11:$I$41)</f>
        <v/>
      </c>
    </row>
    <row r="23" ht="20" customHeight="1">
      <c r="B23" s="15" t="n">
        <v>13</v>
      </c>
      <c r="C23" s="16" t="inlineStr">
        <is>
          <t>MUA &amp; Busana</t>
        </is>
      </c>
      <c r="D23" s="16" t="inlineStr">
        <is>
          <t>Rias &amp; Seragam Bridesmaid &amp; Pagar Ayu</t>
        </is>
      </c>
      <c r="E23" s="16" t="inlineStr">
        <is>
          <t>Nadia Beauty Team</t>
        </is>
      </c>
      <c r="F23" s="15" t="inlineStr">
        <is>
          <t>6 Orang</t>
        </is>
      </c>
      <c r="G23" s="50" t="n">
        <v>2000000</v>
      </c>
      <c r="H23" s="50" t="n">
        <v>1800000</v>
      </c>
      <c r="I23" s="50" t="n">
        <v>1800000</v>
      </c>
      <c r="J23" s="50" t="n">
        <v>1000000</v>
      </c>
      <c r="K23" s="50">
        <f>G23-I23</f>
        <v/>
      </c>
      <c r="L23" s="15" t="inlineStr">
        <is>
          <t>Booked</t>
        </is>
      </c>
      <c r="M23" s="16" t="inlineStr">
        <is>
          <t>Make up natural fresh look</t>
        </is>
      </c>
    </row>
    <row r="24" ht="20" customHeight="1">
      <c r="B24" s="19" t="n">
        <v>14</v>
      </c>
      <c r="C24" s="20" t="inlineStr">
        <is>
          <t>Dokumentasi</t>
        </is>
      </c>
      <c r="D24" s="20" t="inlineStr">
        <is>
          <t>Foto &amp; Cinematic Video (Akad + Resepsi)</t>
        </is>
      </c>
      <c r="E24" s="20" t="inlineStr">
        <is>
          <t>Lensa Kita Photography</t>
        </is>
      </c>
      <c r="F24" s="19" t="inlineStr">
        <is>
          <t>1 Paket</t>
        </is>
      </c>
      <c r="G24" s="52" t="n">
        <v>5500000</v>
      </c>
      <c r="H24" s="52" t="n">
        <v>5000000</v>
      </c>
      <c r="I24" s="52" t="n">
        <v>5000000</v>
      </c>
      <c r="J24" s="52" t="n">
        <v>2500000</v>
      </c>
      <c r="K24" s="52">
        <f>G24-I24</f>
        <v/>
      </c>
      <c r="L24" s="19" t="inlineStr">
        <is>
          <t>Booked</t>
        </is>
      </c>
      <c r="M24" s="20" t="inlineStr">
        <is>
          <t>2 Fotografer, 1 Videografer, teaser 1 menit + full video</t>
        </is>
      </c>
    </row>
    <row r="25" ht="20" customHeight="1">
      <c r="B25" s="15" t="n">
        <v>15</v>
      </c>
      <c r="C25" s="16" t="inlineStr">
        <is>
          <t>Dokumentasi</t>
        </is>
      </c>
      <c r="D25" s="16" t="inlineStr">
        <is>
          <t>Album Kolase Exclusive + Wooden Box USB</t>
        </is>
      </c>
      <c r="E25" s="16" t="inlineStr">
        <is>
          <t>Lensa Kita Photography</t>
        </is>
      </c>
      <c r="F25" s="15" t="inlineStr">
        <is>
          <t>2 Album</t>
        </is>
      </c>
      <c r="G25" s="50" t="n">
        <v>1500000</v>
      </c>
      <c r="H25" s="50" t="n">
        <v>1300000</v>
      </c>
      <c r="I25" s="50" t="n">
        <v>1300000</v>
      </c>
      <c r="J25" s="50" t="n">
        <v>1300000</v>
      </c>
      <c r="K25" s="50">
        <f>G25-I25</f>
        <v/>
      </c>
      <c r="L25" s="15" t="inlineStr">
        <is>
          <t>Lunas</t>
        </is>
      </c>
      <c r="M25" s="16" t="inlineStr">
        <is>
          <t>Ukuran 20x30 magnetic box</t>
        </is>
      </c>
    </row>
    <row r="26" ht="20" customHeight="1">
      <c r="B26" s="19" t="n">
        <v>16</v>
      </c>
      <c r="C26" s="20" t="inlineStr">
        <is>
          <t>Dokumentasi</t>
        </is>
      </c>
      <c r="D26" s="20" t="inlineStr">
        <is>
          <t>Sesi Foto Prewedding Outdoor</t>
        </is>
      </c>
      <c r="E26" s="20" t="inlineStr">
        <is>
          <t>Lensa Kita Photography</t>
        </is>
      </c>
      <c r="F26" s="19" t="inlineStr">
        <is>
          <t>1 Sesi</t>
        </is>
      </c>
      <c r="G26" s="52" t="n">
        <v>2500000</v>
      </c>
      <c r="H26" s="52" t="n">
        <v>2200000</v>
      </c>
      <c r="I26" s="52" t="n">
        <v>2200000</v>
      </c>
      <c r="J26" s="52" t="n">
        <v>2200000</v>
      </c>
      <c r="K26" s="52">
        <f>G26-I26</f>
        <v/>
      </c>
      <c r="L26" s="19" t="inlineStr">
        <is>
          <t>Lunas</t>
        </is>
      </c>
      <c r="M26" s="20" t="inlineStr">
        <is>
          <t>Lokasi Kebun Raya Bogor (include izin)</t>
        </is>
      </c>
    </row>
    <row r="27" ht="20" customHeight="1">
      <c r="B27" s="15" t="n">
        <v>17</v>
      </c>
      <c r="C27" s="16" t="inlineStr">
        <is>
          <t>Undangan &amp; Souvenir</t>
        </is>
      </c>
      <c r="D27" s="16" t="inlineStr">
        <is>
          <t>Cetak Undangan Fisik Hardcover Premium</t>
        </is>
      </c>
      <c r="E27" s="16" t="inlineStr">
        <is>
          <t>Cerita Kita Undangan</t>
        </is>
      </c>
      <c r="F27" s="15" t="inlineStr">
        <is>
          <t>100 Pcs</t>
        </is>
      </c>
      <c r="G27" s="50" t="n">
        <v>1800000</v>
      </c>
      <c r="H27" s="50" t="n">
        <v>1600000</v>
      </c>
      <c r="I27" s="50" t="n">
        <v>1600000</v>
      </c>
      <c r="J27" s="50" t="n">
        <v>1000000</v>
      </c>
      <c r="K27" s="50">
        <f>G27-I27</f>
        <v/>
      </c>
      <c r="L27" s="15" t="inlineStr">
        <is>
          <t>Booked</t>
        </is>
      </c>
      <c r="M27" s="16" t="inlineStr">
        <is>
          <t>Foil emas timbul + amplop kalkir</t>
        </is>
      </c>
    </row>
    <row r="28" ht="20" customHeight="1">
      <c r="B28" s="19" t="n">
        <v>18</v>
      </c>
      <c r="C28" s="20" t="inlineStr">
        <is>
          <t>Undangan &amp; Souvenir</t>
        </is>
      </c>
      <c r="D28" s="20" t="inlineStr">
        <is>
          <t>Website Undangan Digital &amp; RSVP WhatsApp</t>
        </is>
      </c>
      <c r="E28" s="20" t="inlineStr">
        <is>
          <t>KiteInvites Studio</t>
        </is>
      </c>
      <c r="F28" s="19" t="inlineStr">
        <is>
          <t>1 Paket</t>
        </is>
      </c>
      <c r="G28" s="52" t="n">
        <v>450000</v>
      </c>
      <c r="H28" s="52" t="n">
        <v>400000</v>
      </c>
      <c r="I28" s="52" t="n">
        <v>400000</v>
      </c>
      <c r="J28" s="52" t="n">
        <v>400000</v>
      </c>
      <c r="K28" s="52">
        <f>G28-I28</f>
        <v/>
      </c>
      <c r="L28" s="19" t="inlineStr">
        <is>
          <t>Lunas</t>
        </is>
      </c>
      <c r="M28" s="20" t="inlineStr">
        <is>
          <t>Domain custom rinaarif.com aktif 1 tahun</t>
        </is>
      </c>
    </row>
    <row r="29" ht="20" customHeight="1">
      <c r="B29" s="15" t="n">
        <v>19</v>
      </c>
      <c r="C29" s="16" t="inlineStr">
        <is>
          <t>Undangan &amp; Souvenir</t>
        </is>
      </c>
      <c r="D29" s="16" t="inlineStr">
        <is>
          <t>Souvenir Custom Cutlery Set &amp; Pouch Belacu</t>
        </is>
      </c>
      <c r="E29" s="16" t="inlineStr">
        <is>
          <t>Manis Kenangan Souvenir</t>
        </is>
      </c>
      <c r="F29" s="15" t="inlineStr">
        <is>
          <t>300 Pcs</t>
        </is>
      </c>
      <c r="G29" s="50" t="n">
        <v>3500000</v>
      </c>
      <c r="H29" s="50" t="n">
        <v>3200000</v>
      </c>
      <c r="I29" s="50" t="n">
        <v>3200000</v>
      </c>
      <c r="J29" s="50" t="n">
        <v>2000000</v>
      </c>
      <c r="K29" s="50">
        <f>G29-I29</f>
        <v/>
      </c>
      <c r="L29" s="15" t="inlineStr">
        <is>
          <t>Booked</t>
        </is>
      </c>
      <c r="M29" s="16" t="inlineStr">
        <is>
          <t>Include kemasan box kraft &amp; thank you card</t>
        </is>
      </c>
    </row>
    <row r="30" ht="20" customHeight="1">
      <c r="B30" s="19" t="n">
        <v>20</v>
      </c>
      <c r="C30" s="20" t="inlineStr">
        <is>
          <t>Entertainment</t>
        </is>
      </c>
      <c r="D30" s="20" t="inlineStr">
        <is>
          <t>Akustik Band 4 Player + Singer</t>
        </is>
      </c>
      <c r="E30" s="20" t="inlineStr">
        <is>
          <t>Nada Harmoni Acoustic</t>
        </is>
      </c>
      <c r="F30" s="19" t="inlineStr">
        <is>
          <t>1 Paket (3 Jam)</t>
        </is>
      </c>
      <c r="G30" s="52" t="n">
        <v>2500000</v>
      </c>
      <c r="H30" s="52" t="n">
        <v>2200000</v>
      </c>
      <c r="I30" s="52" t="n">
        <v>2200000</v>
      </c>
      <c r="J30" s="52" t="n">
        <v>1000000</v>
      </c>
      <c r="K30" s="52">
        <f>G30-I30</f>
        <v/>
      </c>
      <c r="L30" s="19" t="inlineStr">
        <is>
          <t>Booked</t>
        </is>
      </c>
      <c r="M30" s="20" t="inlineStr">
        <is>
          <t>Lagu pop romantis &amp; jazz santai</t>
        </is>
      </c>
    </row>
    <row r="31" ht="20" customHeight="1">
      <c r="B31" s="15" t="n">
        <v>21</v>
      </c>
      <c r="C31" s="16" t="inlineStr">
        <is>
          <t>Entertainment</t>
        </is>
      </c>
      <c r="D31" s="16" t="inlineStr">
        <is>
          <t>Professional Master of Ceremony (MC)</t>
        </is>
      </c>
      <c r="E31" s="16" t="inlineStr">
        <is>
          <t>Mas Dimas MC</t>
        </is>
      </c>
      <c r="F31" s="15" t="inlineStr">
        <is>
          <t>Akad &amp; Resepsi</t>
        </is>
      </c>
      <c r="G31" s="50" t="n">
        <v>2000000</v>
      </c>
      <c r="H31" s="50" t="n">
        <v>1800000</v>
      </c>
      <c r="I31" s="50" t="n">
        <v>1800000</v>
      </c>
      <c r="J31" s="50" t="n">
        <v>1000000</v>
      </c>
      <c r="K31" s="50">
        <f>G31-I31</f>
        <v/>
      </c>
      <c r="L31" s="15" t="inlineStr">
        <is>
          <t>Booked</t>
        </is>
      </c>
      <c r="M31" s="16" t="inlineStr">
        <is>
          <t>Bilingual MC bahasa Indonesia &amp; santun</t>
        </is>
      </c>
    </row>
    <row r="32" ht="20" customHeight="1">
      <c r="B32" s="19" t="n">
        <v>22</v>
      </c>
      <c r="C32" s="20" t="inlineStr">
        <is>
          <t>Entertainment</t>
        </is>
      </c>
      <c r="D32" s="20" t="inlineStr">
        <is>
          <t>Sound System 5.000 Watt + Genset</t>
        </is>
      </c>
      <c r="E32" s="20" t="inlineStr">
        <is>
          <t>Thunder Audio Gedung</t>
        </is>
      </c>
      <c r="F32" s="19" t="inlineStr">
        <is>
          <t>1 Paket</t>
        </is>
      </c>
      <c r="G32" s="52" t="n">
        <v>2200000</v>
      </c>
      <c r="H32" s="52" t="n">
        <v>2000000</v>
      </c>
      <c r="I32" s="52" t="n">
        <v>2000000</v>
      </c>
      <c r="J32" s="52" t="n">
        <v>1000000</v>
      </c>
      <c r="K32" s="52">
        <f>G32-I32</f>
        <v/>
      </c>
      <c r="L32" s="19" t="inlineStr">
        <is>
          <t>Booked</t>
        </is>
      </c>
      <c r="M32" s="20" t="inlineStr">
        <is>
          <t>Microphone wireless 4 unit</t>
        </is>
      </c>
    </row>
    <row r="33" ht="20" customHeight="1">
      <c r="B33" s="15" t="n">
        <v>23</v>
      </c>
      <c r="C33" s="16" t="inlineStr">
        <is>
          <t>Wedding Organizer</t>
        </is>
      </c>
      <c r="D33" s="16" t="inlineStr">
        <is>
          <t>WO Hari H (6 Orang Onsite Crew)</t>
        </is>
      </c>
      <c r="E33" s="16" t="inlineStr">
        <is>
          <t>Amanah Wedding Organizer</t>
        </is>
      </c>
      <c r="F33" s="15" t="inlineStr">
        <is>
          <t>1 Tim</t>
        </is>
      </c>
      <c r="G33" s="50" t="n">
        <v>4500000</v>
      </c>
      <c r="H33" s="50" t="n">
        <v>4000000</v>
      </c>
      <c r="I33" s="50" t="n">
        <v>4000000</v>
      </c>
      <c r="J33" s="50" t="n">
        <v>2000000</v>
      </c>
      <c r="K33" s="50">
        <f>G33-I33</f>
        <v/>
      </c>
      <c r="L33" s="15" t="inlineStr">
        <is>
          <t>Booked</t>
        </is>
      </c>
      <c r="M33" s="16" t="inlineStr">
        <is>
          <t>Mengatur rundown, VIP guest, prasmanan, &amp; timeline</t>
        </is>
      </c>
    </row>
    <row r="34" ht="20" customHeight="1">
      <c r="B34" s="19" t="n">
        <v>24</v>
      </c>
      <c r="C34" s="20" t="inlineStr">
        <is>
          <t>Seserahan &amp; Mahar</t>
        </is>
      </c>
      <c r="D34" s="20" t="inlineStr">
        <is>
          <t>Jasa Hias Kotak Akrilik Hantaran</t>
        </is>
      </c>
      <c r="E34" s="20" t="inlineStr">
        <is>
          <t>Kotak Cinta Seserahan</t>
        </is>
      </c>
      <c r="F34" s="19" t="inlineStr">
        <is>
          <t>8 Kotak</t>
        </is>
      </c>
      <c r="G34" s="52" t="n">
        <v>1200000</v>
      </c>
      <c r="H34" s="52" t="n">
        <v>1000000</v>
      </c>
      <c r="I34" s="52" t="n">
        <v>1000000</v>
      </c>
      <c r="J34" s="52" t="n">
        <v>500000</v>
      </c>
      <c r="K34" s="52">
        <f>G34-I34</f>
        <v/>
      </c>
      <c r="L34" s="19" t="inlineStr">
        <is>
          <t>Booked</t>
        </is>
      </c>
      <c r="M34" s="20" t="inlineStr">
        <is>
          <t>Sewa box akrilik + hias bunga artificial</t>
        </is>
      </c>
    </row>
    <row r="35" ht="20" customHeight="1">
      <c r="B35" s="15" t="n">
        <v>25</v>
      </c>
      <c r="C35" s="16" t="inlineStr">
        <is>
          <t>Seserahan &amp; Mahar</t>
        </is>
      </c>
      <c r="D35" s="16" t="inlineStr">
        <is>
          <t>Total Isi Seserahan CPW &amp; CPP</t>
        </is>
      </c>
      <c r="E35" s="16" t="inlineStr">
        <is>
          <t>Beli Mandiri</t>
        </is>
      </c>
      <c r="F35" s="15" t="inlineStr">
        <is>
          <t>Multi Item</t>
        </is>
      </c>
      <c r="G35" s="50" t="n">
        <v>10000000</v>
      </c>
      <c r="H35" s="50" t="n">
        <v>9500000</v>
      </c>
      <c r="I35" s="50" t="n">
        <v>8900000</v>
      </c>
      <c r="J35" s="50" t="n">
        <v>8900000</v>
      </c>
      <c r="K35" s="50">
        <f>G35-I35</f>
        <v/>
      </c>
      <c r="L35" s="15" t="inlineStr">
        <is>
          <t>Dalam Proses</t>
        </is>
      </c>
      <c r="M35" s="16" t="inlineStr">
        <is>
          <t>Lihat rincian pada sheet 08 — SESERAHAN</t>
        </is>
      </c>
    </row>
    <row r="36" ht="20" customHeight="1">
      <c r="B36" s="19" t="n">
        <v>26</v>
      </c>
      <c r="C36" s="20" t="inlineStr">
        <is>
          <t>Seserahan &amp; Mahar</t>
        </is>
      </c>
      <c r="D36" s="20" t="inlineStr">
        <is>
          <t>Cincin Kawin Rose Gold 18K</t>
        </is>
      </c>
      <c r="E36" s="20" t="inlineStr">
        <is>
          <t>Spilla Jewelry</t>
        </is>
      </c>
      <c r="F36" s="19" t="inlineStr">
        <is>
          <t>2 Cincin</t>
        </is>
      </c>
      <c r="G36" s="52" t="n">
        <v>4500000</v>
      </c>
      <c r="H36" s="52" t="n">
        <v>4200000</v>
      </c>
      <c r="I36" s="52" t="n">
        <v>4200000</v>
      </c>
      <c r="J36" s="52" t="n">
        <v>4200000</v>
      </c>
      <c r="K36" s="52">
        <f>G36-I36</f>
        <v/>
      </c>
      <c r="L36" s="19" t="inlineStr">
        <is>
          <t>Lunas</t>
        </is>
      </c>
      <c r="M36" s="20" t="inlineStr">
        <is>
          <t>Grafir nama internal &amp; kotak kayu custom</t>
        </is>
      </c>
    </row>
    <row r="37" ht="20" customHeight="1">
      <c r="B37" s="15" t="n">
        <v>27</v>
      </c>
      <c r="C37" s="16" t="inlineStr">
        <is>
          <t>Seserahan &amp; Mahar</t>
        </is>
      </c>
      <c r="D37" s="16" t="inlineStr">
        <is>
          <t>Frame Logam Mulia Mahar Kaligrafi</t>
        </is>
      </c>
      <c r="E37" s="16" t="inlineStr">
        <is>
          <t>Kreasi Mahar Cantik</t>
        </is>
      </c>
      <c r="F37" s="15" t="inlineStr">
        <is>
          <t>1 Frame</t>
        </is>
      </c>
      <c r="G37" s="50" t="n">
        <v>800000</v>
      </c>
      <c r="H37" s="50" t="n">
        <v>750000</v>
      </c>
      <c r="I37" s="50" t="n">
        <v>750000</v>
      </c>
      <c r="J37" s="50" t="n">
        <v>750000</v>
      </c>
      <c r="K37" s="50">
        <f>G37-I37</f>
        <v/>
      </c>
      <c r="L37" s="15" t="inlineStr">
        <is>
          <t>Lunas</t>
        </is>
      </c>
      <c r="M37" s="16" t="inlineStr">
        <is>
          <t>Emas antam 5 gram + hiasan koin kuno</t>
        </is>
      </c>
    </row>
    <row r="38" ht="20" customHeight="1">
      <c r="B38" s="19" t="n">
        <v>28</v>
      </c>
      <c r="C38" s="20" t="inlineStr">
        <is>
          <t>Transport &amp; Hotel</t>
        </is>
      </c>
      <c r="D38" s="20" t="inlineStr">
        <is>
          <t>Sewa Mobil Pengantin Alphard Putih</t>
        </is>
      </c>
      <c r="E38" s="20" t="inlineStr">
        <is>
          <t>Royal Executive Rent</t>
        </is>
      </c>
      <c r="F38" s="19" t="inlineStr">
        <is>
          <t>12 Jam</t>
        </is>
      </c>
      <c r="G38" s="52" t="n">
        <v>1800000</v>
      </c>
      <c r="H38" s="52" t="n">
        <v>1600000</v>
      </c>
      <c r="I38" s="52" t="n">
        <v>1600000</v>
      </c>
      <c r="J38" s="52" t="n">
        <v>1000000</v>
      </c>
      <c r="K38" s="52">
        <f>G38-I38</f>
        <v/>
      </c>
      <c r="L38" s="19" t="inlineStr">
        <is>
          <t>Booked</t>
        </is>
      </c>
      <c r="M38" s="20" t="inlineStr">
        <is>
          <t>Include driver, bensin &amp; pita dekorasi</t>
        </is>
      </c>
    </row>
    <row r="39" ht="20" customHeight="1">
      <c r="B39" s="15" t="n">
        <v>29</v>
      </c>
      <c r="C39" s="16" t="inlineStr">
        <is>
          <t>Transport &amp; Hotel</t>
        </is>
      </c>
      <c r="D39" s="16" t="inlineStr">
        <is>
          <t>Kamar Hotel Keluarga &amp; Persiapan</t>
        </is>
      </c>
      <c r="E39" s="16" t="inlineStr">
        <is>
          <t>Grand Harmony Hotel</t>
        </is>
      </c>
      <c r="F39" s="15" t="inlineStr">
        <is>
          <t>2 Kamar (1 Malam)</t>
        </is>
      </c>
      <c r="G39" s="50" t="n">
        <v>1600000</v>
      </c>
      <c r="H39" s="50" t="n">
        <v>1500000</v>
      </c>
      <c r="I39" s="50" t="n">
        <v>1500000</v>
      </c>
      <c r="J39" s="50" t="n">
        <v>1500000</v>
      </c>
      <c r="K39" s="50">
        <f>G39-I39</f>
        <v/>
      </c>
      <c r="L39" s="15" t="inlineStr">
        <is>
          <t>Lunas</t>
        </is>
      </c>
      <c r="M39" s="16" t="inlineStr">
        <is>
          <t>Dekat dengan ballroom utama</t>
        </is>
      </c>
    </row>
    <row r="40" ht="20" customHeight="1">
      <c r="B40" s="19" t="n">
        <v>30</v>
      </c>
      <c r="C40" s="20" t="inlineStr">
        <is>
          <t>Administrasi</t>
        </is>
      </c>
      <c r="D40" s="20" t="inlineStr">
        <is>
          <t>Biaya Nikah KUA Luar Kantor &amp; Legalitas</t>
        </is>
      </c>
      <c r="E40" s="20" t="inlineStr">
        <is>
          <t>KUA Setempat</t>
        </is>
      </c>
      <c r="F40" s="19" t="inlineStr">
        <is>
          <t>1 Paket</t>
        </is>
      </c>
      <c r="G40" s="52" t="n">
        <v>900000</v>
      </c>
      <c r="H40" s="52" t="n">
        <v>850000</v>
      </c>
      <c r="I40" s="52" t="n">
        <v>850000</v>
      </c>
      <c r="J40" s="52" t="n">
        <v>850000</v>
      </c>
      <c r="K40" s="52">
        <f>G40-I40</f>
        <v/>
      </c>
      <c r="L40" s="19" t="inlineStr">
        <is>
          <t>Lunas</t>
        </is>
      </c>
      <c r="M40" s="20" t="inlineStr">
        <is>
          <t>Lihat rincian pada sheet 09 — ADMINISTRASI</t>
        </is>
      </c>
    </row>
    <row r="41" ht="20" customHeight="1">
      <c r="B41" s="15" t="n">
        <v>31</v>
      </c>
      <c r="C41" s="16" t="inlineStr">
        <is>
          <t>Honeymoon &amp; Cadangan</t>
        </is>
      </c>
      <c r="D41" s="16" t="inlineStr">
        <is>
          <t>Paket Honeymoon Bali Intimate (4D3N)</t>
        </is>
      </c>
      <c r="E41" s="16" t="inlineStr">
        <is>
          <t>Nusantara Tour</t>
        </is>
      </c>
      <c r="F41" s="15" t="inlineStr">
        <is>
          <t>1 Paket</t>
        </is>
      </c>
      <c r="G41" s="50" t="n">
        <v>4500000</v>
      </c>
      <c r="H41" s="50" t="n">
        <v>4200000</v>
      </c>
      <c r="I41" s="50" t="n">
        <v>4200000</v>
      </c>
      <c r="J41" s="50" t="n">
        <v>2000000</v>
      </c>
      <c r="K41" s="50">
        <f>G41-I41</f>
        <v/>
      </c>
      <c r="L41" s="15" t="inlineStr">
        <is>
          <t>Booked</t>
        </is>
      </c>
      <c r="M41" s="16" t="inlineStr">
        <is>
          <t>Tiket PP + Private Pool Villa Ubud</t>
        </is>
      </c>
    </row>
    <row r="42" ht="24" customHeight="1">
      <c r="B42" s="53" t="inlineStr">
        <is>
          <t>TOTAL KESELURUHAN PENGELUARAN</t>
        </is>
      </c>
      <c r="C42" s="54" t="n"/>
      <c r="D42" s="54" t="n"/>
      <c r="E42" s="54" t="n"/>
      <c r="F42" s="54" t="n"/>
      <c r="G42" s="55">
        <f>SUM(G11:G41)</f>
        <v/>
      </c>
      <c r="H42" s="55">
        <f>SUM(H11:H41)</f>
        <v/>
      </c>
      <c r="I42" s="55">
        <f>SUM(I11:I41)</f>
        <v/>
      </c>
      <c r="J42" s="55">
        <f>SUM(J11:J41)</f>
        <v/>
      </c>
      <c r="K42" s="55">
        <f>SUM(K11:K41)</f>
        <v/>
      </c>
      <c r="L42" s="56" t="inlineStr">
        <is>
          <t>Dalam Proses</t>
        </is>
      </c>
      <c r="M42" s="57" t="inlineStr">
        <is>
          <t>Untuk tips kru, parkir, dan konsumsi panitia</t>
        </is>
      </c>
    </row>
  </sheetData>
  <mergeCells count="13">
    <mergeCell ref="B2:M2"/>
    <mergeCell ref="B3:M3"/>
    <mergeCell ref="H6:I7"/>
    <mergeCell ref="B5:C5"/>
    <mergeCell ref="B42:F42"/>
    <mergeCell ref="F5:G5"/>
    <mergeCell ref="D5:E5"/>
    <mergeCell ref="D6:E7"/>
    <mergeCell ref="B6:C7"/>
    <mergeCell ref="H5:I5"/>
    <mergeCell ref="F6:G7"/>
    <mergeCell ref="J6:M7"/>
    <mergeCell ref="J5:M5"/>
  </mergeCells>
  <dataValidations count="1">
    <dataValidation sqref="L11:L41" showDropDown="0" showInputMessage="0" showErrorMessage="0" allowBlank="1" type="list">
      <formula1>"Belum Mulai,Survey,Dalam Proses,Booked,Lunas"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651A6"/>
    <outlinePr summaryBelow="1" summaryRight="1"/>
    <pageSetUpPr/>
  </sheetPr>
  <dimension ref="B2:J57"/>
  <sheetViews>
    <sheetView showGridLines="1" workbookViewId="0">
      <pane xSplit="4" ySplit="10" topLeftCell="E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6" customWidth="1" min="3" max="3"/>
    <col width="42" customWidth="1" min="4" max="4"/>
    <col width="14" customWidth="1" min="5" max="5"/>
    <col width="15" customWidth="1" min="6" max="6"/>
    <col width="13" customWidth="1" min="7" max="7"/>
    <col width="15" customWidth="1" min="8" max="8"/>
    <col width="16" customWidth="1" min="9" max="9"/>
    <col width="38" customWidth="1" min="10" max="10"/>
  </cols>
  <sheetData>
    <row r="2" ht="36" customHeight="1">
      <c r="B2" s="1" t="inlineStr">
        <is>
          <t xml:space="preserve">  CHECKLIST PERSIAPAN PERNIKAHAN  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 ht="20" customHeight="1">
      <c r="B3" s="3" t="inlineStr">
        <is>
          <t xml:space="preserve">  Pantau seluruh tugas persiapan pernikahanmu dari H-12 Bulan hingga Hari Bahagia.  </t>
        </is>
      </c>
      <c r="C3" s="4" t="n"/>
      <c r="D3" s="4" t="n"/>
      <c r="E3" s="4" t="n"/>
      <c r="F3" s="4" t="n"/>
      <c r="G3" s="4" t="n"/>
      <c r="H3" s="4" t="n"/>
      <c r="I3" s="4" t="n"/>
      <c r="J3" s="4" t="n"/>
    </row>
    <row r="5" ht="20" customHeight="1">
      <c r="B5" s="30" t="inlineStr">
        <is>
          <t>TOTAL TUGAS</t>
        </is>
      </c>
      <c r="C5" s="31" t="n"/>
      <c r="D5" s="30" t="inlineStr">
        <is>
          <t>TUGAS SELESAI</t>
        </is>
      </c>
      <c r="E5" s="31" t="n"/>
      <c r="F5" s="30" t="inlineStr">
        <is>
          <t>DALAM PROSES</t>
        </is>
      </c>
      <c r="G5" s="31" t="n"/>
      <c r="H5" s="58" t="inlineStr">
        <is>
          <t>BELUM MULAI</t>
        </is>
      </c>
      <c r="I5" s="30" t="inlineStr">
        <is>
          <t>PROGRESS KELENGKAPAN</t>
        </is>
      </c>
      <c r="J5" s="31" t="n"/>
    </row>
    <row r="6" ht="16" customHeight="1">
      <c r="B6" s="35">
        <f>COUNTA(D11:D55)</f>
        <v/>
      </c>
      <c r="C6" s="33" t="n"/>
      <c r="D6" s="35">
        <f>COUNTIF(I11:I55, "Selesai")</f>
        <v/>
      </c>
      <c r="E6" s="33" t="n"/>
      <c r="F6" s="35">
        <f>COUNTIF(I11:I55, "Dalam Proses")</f>
        <v/>
      </c>
      <c r="G6" s="33" t="n"/>
      <c r="H6" s="59">
        <f>COUNTIF(I11:I55, "Belum Mulai")</f>
        <v/>
      </c>
      <c r="I6" s="34">
        <f>D6/B6</f>
        <v/>
      </c>
      <c r="J6" s="33" t="n"/>
    </row>
    <row r="7" ht="16" customHeight="1">
      <c r="B7" s="36" t="n"/>
      <c r="C7" s="37" t="n"/>
      <c r="D7" s="36" t="n"/>
      <c r="E7" s="37" t="n"/>
      <c r="F7" s="36" t="n"/>
      <c r="G7" s="37" t="n"/>
      <c r="H7" s="60" t="n"/>
      <c r="I7" s="36" t="n"/>
      <c r="J7" s="37" t="n"/>
    </row>
    <row r="10" ht="26" customHeight="1">
      <c r="B10" s="38" t="inlineStr">
        <is>
          <t>✓</t>
        </is>
      </c>
      <c r="C10" s="38" t="inlineStr">
        <is>
          <t>NO</t>
        </is>
      </c>
      <c r="D10" s="39" t="inlineStr">
        <is>
          <t>TASK / KEGIATAN</t>
        </is>
      </c>
      <c r="E10" s="38" t="inlineStr">
        <is>
          <t>FASE WAKTU</t>
        </is>
      </c>
      <c r="F10" s="39" t="inlineStr">
        <is>
          <t>KATEGORI</t>
        </is>
      </c>
      <c r="G10" s="38" t="inlineStr">
        <is>
          <t>PRIORITAS</t>
        </is>
      </c>
      <c r="H10" s="38" t="inlineStr">
        <is>
          <t>TARGET DEADLINE</t>
        </is>
      </c>
      <c r="I10" s="38" t="inlineStr">
        <is>
          <t>STATUS</t>
        </is>
      </c>
      <c r="J10" s="39" t="inlineStr">
        <is>
          <t>CATATAN &amp; PIC</t>
        </is>
      </c>
    </row>
    <row r="11" ht="20" customHeight="1">
      <c r="B11" s="61" t="inlineStr">
        <is>
          <t>✓</t>
        </is>
      </c>
      <c r="C11" s="62" t="n">
        <v>1</v>
      </c>
      <c r="D11" s="63" t="inlineStr">
        <is>
          <t>Diskusi awal keluarga besar dan penentuan tanggal pernikahan</t>
        </is>
      </c>
      <c r="E11" s="62" t="inlineStr">
        <is>
          <t>12–9 Bulan</t>
        </is>
      </c>
      <c r="F11" s="62" t="inlineStr">
        <is>
          <t>Umum</t>
        </is>
      </c>
      <c r="G11" s="61" t="inlineStr">
        <is>
          <t>Tinggi</t>
        </is>
      </c>
      <c r="H11" s="62" t="inlineStr">
        <is>
          <t>12 Nov 2025</t>
        </is>
      </c>
      <c r="I11" s="61" t="inlineStr">
        <is>
          <t>Selesai</t>
        </is>
      </c>
      <c r="J11" s="63" t="inlineStr">
        <is>
          <t>Tanggal disepakati 12 Oktober 2026</t>
        </is>
      </c>
    </row>
    <row r="12" ht="20" customHeight="1">
      <c r="B12" s="61" t="inlineStr">
        <is>
          <t>✓</t>
        </is>
      </c>
      <c r="C12" s="62" t="n">
        <v>2</v>
      </c>
      <c r="D12" s="63" t="inlineStr">
        <is>
          <t>Menentukan total anggaran maksimal &amp; komitmen pembagian budget</t>
        </is>
      </c>
      <c r="E12" s="62" t="inlineStr">
        <is>
          <t>12–9 Bulan</t>
        </is>
      </c>
      <c r="F12" s="62" t="inlineStr">
        <is>
          <t>Budget</t>
        </is>
      </c>
      <c r="G12" s="61" t="inlineStr">
        <is>
          <t>Tinggi</t>
        </is>
      </c>
      <c r="H12" s="62" t="inlineStr">
        <is>
          <t>20 Nov 2025</t>
        </is>
      </c>
      <c r="I12" s="61" t="inlineStr">
        <is>
          <t>Selesai</t>
        </is>
      </c>
      <c r="J12" s="63" t="inlineStr">
        <is>
          <t>Alokasi budget Rp120 Juta</t>
        </is>
      </c>
    </row>
    <row r="13" ht="20" customHeight="1">
      <c r="B13" s="61" t="inlineStr">
        <is>
          <t>✓</t>
        </is>
      </c>
      <c r="C13" s="62" t="n">
        <v>3</v>
      </c>
      <c r="D13" s="63" t="inlineStr">
        <is>
          <t>Menentukan konsep pernikahan (Tradisional Modern / Intimate)</t>
        </is>
      </c>
      <c r="E13" s="62" t="inlineStr">
        <is>
          <t>12–9 Bulan</t>
        </is>
      </c>
      <c r="F13" s="62" t="inlineStr">
        <is>
          <t>Konsep</t>
        </is>
      </c>
      <c r="G13" s="61" t="inlineStr">
        <is>
          <t>Sedang</t>
        </is>
      </c>
      <c r="H13" s="62" t="inlineStr">
        <is>
          <t>01 Des 2025</t>
        </is>
      </c>
      <c r="I13" s="61" t="inlineStr">
        <is>
          <t>Selesai</t>
        </is>
      </c>
      <c r="J13" s="63" t="inlineStr">
        <is>
          <t>Tema romantic plum floral</t>
        </is>
      </c>
    </row>
    <row r="14" ht="20" customHeight="1">
      <c r="B14" s="61" t="inlineStr">
        <is>
          <t>✓</t>
        </is>
      </c>
      <c r="C14" s="62" t="n">
        <v>4</v>
      </c>
      <c r="D14" s="63" t="inlineStr">
        <is>
          <t>Survey dan booking venue akad &amp; resepsi (Grand Harmony)</t>
        </is>
      </c>
      <c r="E14" s="62" t="inlineStr">
        <is>
          <t>12–9 Bulan</t>
        </is>
      </c>
      <c r="F14" s="62" t="inlineStr">
        <is>
          <t>Venue</t>
        </is>
      </c>
      <c r="G14" s="61" t="inlineStr">
        <is>
          <t>Tinggi</t>
        </is>
      </c>
      <c r="H14" s="62" t="inlineStr">
        <is>
          <t>15 Des 2025</t>
        </is>
      </c>
      <c r="I14" s="61" t="inlineStr">
        <is>
          <t>Selesai</t>
        </is>
      </c>
      <c r="J14" s="63" t="inlineStr">
        <is>
          <t>DP ballroom telah disetor</t>
        </is>
      </c>
    </row>
    <row r="15" ht="20" customHeight="1">
      <c r="B15" s="61" t="inlineStr">
        <is>
          <t>✓</t>
        </is>
      </c>
      <c r="C15" s="62" t="n">
        <v>5</v>
      </c>
      <c r="D15" s="63" t="inlineStr">
        <is>
          <t>Menyusun estimasi kasar jumlah tamu undangan kedua belah pihak</t>
        </is>
      </c>
      <c r="E15" s="62" t="inlineStr">
        <is>
          <t>12–9 Bulan</t>
        </is>
      </c>
      <c r="F15" s="62" t="inlineStr">
        <is>
          <t>Tamu</t>
        </is>
      </c>
      <c r="G15" s="61" t="inlineStr">
        <is>
          <t>Tinggi</t>
        </is>
      </c>
      <c r="H15" s="62" t="inlineStr">
        <is>
          <t>05 Jan 2026</t>
        </is>
      </c>
      <c r="I15" s="61" t="inlineStr">
        <is>
          <t>Selesai</t>
        </is>
      </c>
      <c r="J15" s="63" t="inlineStr">
        <is>
          <t>Target 250 undangan / 500 pax</t>
        </is>
      </c>
    </row>
    <row r="16" ht="20" customHeight="1">
      <c r="B16" s="61" t="inlineStr">
        <is>
          <t>✓</t>
        </is>
      </c>
      <c r="C16" s="62" t="n">
        <v>6</v>
      </c>
      <c r="D16" s="63" t="inlineStr">
        <is>
          <t>Survey dan pemilihan vendor catering (Test food menu utama)</t>
        </is>
      </c>
      <c r="E16" s="62" t="inlineStr">
        <is>
          <t>8–6 Bulan</t>
        </is>
      </c>
      <c r="F16" s="62" t="inlineStr">
        <is>
          <t>Catering</t>
        </is>
      </c>
      <c r="G16" s="61" t="inlineStr">
        <is>
          <t>Tinggi</t>
        </is>
      </c>
      <c r="H16" s="62" t="inlineStr">
        <is>
          <t>15 Feb 2026</t>
        </is>
      </c>
      <c r="I16" s="61" t="inlineStr">
        <is>
          <t>Selesai</t>
        </is>
      </c>
      <c r="J16" s="63" t="inlineStr">
        <is>
          <t>Sari Rasa Catering dipilih</t>
        </is>
      </c>
    </row>
    <row r="17" ht="20" customHeight="1">
      <c r="B17" s="61" t="inlineStr">
        <is>
          <t>✓</t>
        </is>
      </c>
      <c r="C17" s="62" t="n">
        <v>7</v>
      </c>
      <c r="D17" s="63" t="inlineStr">
        <is>
          <t>Survey dan booking vendor dekorasi pelaminan &amp; photobooth</t>
        </is>
      </c>
      <c r="E17" s="62" t="inlineStr">
        <is>
          <t>8–6 Bulan</t>
        </is>
      </c>
      <c r="F17" s="62" t="inlineStr">
        <is>
          <t>Dekorasi</t>
        </is>
      </c>
      <c r="G17" s="61" t="inlineStr">
        <is>
          <t>Tinggi</t>
        </is>
      </c>
      <c r="H17" s="62" t="inlineStr">
        <is>
          <t>28 Feb 2026</t>
        </is>
      </c>
      <c r="I17" s="61" t="inlineStr">
        <is>
          <t>Selesai</t>
        </is>
      </c>
      <c r="J17" s="63" t="inlineStr">
        <is>
          <t>Bloom &amp; Co. Atelier</t>
        </is>
      </c>
    </row>
    <row r="18" ht="20" customHeight="1">
      <c r="B18" s="61" t="inlineStr">
        <is>
          <t>✓</t>
        </is>
      </c>
      <c r="C18" s="62" t="n">
        <v>8</v>
      </c>
      <c r="D18" s="63" t="inlineStr">
        <is>
          <t>Booking MUA pengantin, keluarga, dan busana pernikahan</t>
        </is>
      </c>
      <c r="E18" s="62" t="inlineStr">
        <is>
          <t>8–6 Bulan</t>
        </is>
      </c>
      <c r="F18" s="62" t="inlineStr">
        <is>
          <t>MUA &amp; Busana</t>
        </is>
      </c>
      <c r="G18" s="61" t="inlineStr">
        <is>
          <t>Tinggi</t>
        </is>
      </c>
      <c r="H18" s="62" t="inlineStr">
        <is>
          <t>15 Mar 2026</t>
        </is>
      </c>
      <c r="I18" s="61" t="inlineStr">
        <is>
          <t>Selesai</t>
        </is>
      </c>
      <c r="J18" s="63" t="inlineStr">
        <is>
          <t>Nadia Beauty &amp; Sanggar Ayu</t>
        </is>
      </c>
    </row>
    <row r="19" ht="20" customHeight="1">
      <c r="B19" s="61" t="inlineStr">
        <is>
          <t>✓</t>
        </is>
      </c>
      <c r="C19" s="62" t="n">
        <v>9</v>
      </c>
      <c r="D19" s="63" t="inlineStr">
        <is>
          <t>Booking tim dokumentasi foto &amp; cinematic video</t>
        </is>
      </c>
      <c r="E19" s="62" t="inlineStr">
        <is>
          <t>8–6 Bulan</t>
        </is>
      </c>
      <c r="F19" s="62" t="inlineStr">
        <is>
          <t>Dokumentasi</t>
        </is>
      </c>
      <c r="G19" s="61" t="inlineStr">
        <is>
          <t>Tinggi</t>
        </is>
      </c>
      <c r="H19" s="62" t="inlineStr">
        <is>
          <t>30 Mar 2026</t>
        </is>
      </c>
      <c r="I19" s="61" t="inlineStr">
        <is>
          <t>Selesai</t>
        </is>
      </c>
      <c r="J19" s="63" t="inlineStr">
        <is>
          <t>Lensa Kita Photography</t>
        </is>
      </c>
    </row>
    <row r="20" ht="20" customHeight="1">
      <c r="B20" s="61" t="inlineStr">
        <is>
          <t>✓</t>
        </is>
      </c>
      <c r="C20" s="62" t="n">
        <v>10</v>
      </c>
      <c r="D20" s="63" t="inlineStr">
        <is>
          <t>Sesi foto pre-wedding outdoor &amp; pemilihan foto terbaik</t>
        </is>
      </c>
      <c r="E20" s="62" t="inlineStr">
        <is>
          <t>8–6 Bulan</t>
        </is>
      </c>
      <c r="F20" s="62" t="inlineStr">
        <is>
          <t>Dokumentasi</t>
        </is>
      </c>
      <c r="G20" s="61" t="inlineStr">
        <is>
          <t>Sedang</t>
        </is>
      </c>
      <c r="H20" s="62" t="inlineStr">
        <is>
          <t>15 Apr 2026</t>
        </is>
      </c>
      <c r="I20" s="61" t="inlineStr">
        <is>
          <t>Selesai</t>
        </is>
      </c>
      <c r="J20" s="63" t="inlineStr">
        <is>
          <t>Foto di Kebun Raya Bogor sukses</t>
        </is>
      </c>
    </row>
    <row r="21" ht="20" customHeight="1">
      <c r="B21" s="61" t="inlineStr">
        <is>
          <t>✓</t>
        </is>
      </c>
      <c r="C21" s="62" t="n">
        <v>11</v>
      </c>
      <c r="D21" s="63" t="inlineStr">
        <is>
          <t>Menentukan pengiring pengantin (Bridesmaid &amp; Groomsmen)</t>
        </is>
      </c>
      <c r="E21" s="62" t="inlineStr">
        <is>
          <t>8–6 Bulan</t>
        </is>
      </c>
      <c r="F21" s="62" t="inlineStr">
        <is>
          <t>Panitia</t>
        </is>
      </c>
      <c r="G21" s="61" t="inlineStr">
        <is>
          <t>Rendah</t>
        </is>
      </c>
      <c r="H21" s="62" t="inlineStr">
        <is>
          <t>30 Apr 2026</t>
        </is>
      </c>
      <c r="I21" s="61" t="inlineStr">
        <is>
          <t>Selesai</t>
        </is>
      </c>
      <c r="J21" s="63" t="inlineStr">
        <is>
          <t>6 sahabat dekat CPW &amp; CPP</t>
        </is>
      </c>
    </row>
    <row r="22" ht="20" customHeight="1">
      <c r="B22" s="61" t="inlineStr">
        <is>
          <t>✓</t>
        </is>
      </c>
      <c r="C22" s="62" t="n">
        <v>12</v>
      </c>
      <c r="D22" s="63" t="inlineStr">
        <is>
          <t>Desain &amp; cetak sampel undangan fisik hardcover</t>
        </is>
      </c>
      <c r="E22" s="62" t="inlineStr">
        <is>
          <t>5–3 Bulan</t>
        </is>
      </c>
      <c r="F22" s="62" t="inlineStr">
        <is>
          <t>Undangan</t>
        </is>
      </c>
      <c r="G22" s="61" t="inlineStr">
        <is>
          <t>Sedang</t>
        </is>
      </c>
      <c r="H22" s="62" t="inlineStr">
        <is>
          <t>15 Mei 2026</t>
        </is>
      </c>
      <c r="I22" s="61" t="inlineStr">
        <is>
          <t>Selesai</t>
        </is>
      </c>
      <c r="J22" s="63" t="inlineStr">
        <is>
          <t>Sample foil disetujui</t>
        </is>
      </c>
    </row>
    <row r="23" ht="20" customHeight="1">
      <c r="B23" s="61" t="inlineStr">
        <is>
          <t>✓</t>
        </is>
      </c>
      <c r="C23" s="62" t="n">
        <v>13</v>
      </c>
      <c r="D23" s="63" t="inlineStr">
        <is>
          <t>Pembuatan website undangan digital &amp; RSVP form online</t>
        </is>
      </c>
      <c r="E23" s="62" t="inlineStr">
        <is>
          <t>5–3 Bulan</t>
        </is>
      </c>
      <c r="F23" s="62" t="inlineStr">
        <is>
          <t>Undangan</t>
        </is>
      </c>
      <c r="G23" s="61" t="inlineStr">
        <is>
          <t>Sedang</t>
        </is>
      </c>
      <c r="H23" s="62" t="inlineStr">
        <is>
          <t>30 Mei 2026</t>
        </is>
      </c>
      <c r="I23" s="61" t="inlineStr">
        <is>
          <t>Selesai</t>
        </is>
      </c>
      <c r="J23" s="63" t="inlineStr">
        <is>
          <t>Domain rinaarif.com siap</t>
        </is>
      </c>
    </row>
    <row r="24" ht="20" customHeight="1">
      <c r="B24" s="61" t="inlineStr">
        <is>
          <t>✓</t>
        </is>
      </c>
      <c r="C24" s="62" t="n">
        <v>14</v>
      </c>
      <c r="D24" s="63" t="inlineStr">
        <is>
          <t>Membeli dan mengumpulkan barang seserahan kotak 1-4</t>
        </is>
      </c>
      <c r="E24" s="62" t="inlineStr">
        <is>
          <t>5–3 Bulan</t>
        </is>
      </c>
      <c r="F24" s="62" t="inlineStr">
        <is>
          <t>Seserahan</t>
        </is>
      </c>
      <c r="G24" s="61" t="inlineStr">
        <is>
          <t>Tinggi</t>
        </is>
      </c>
      <c r="H24" s="62" t="inlineStr">
        <is>
          <t>15 Jun 2026</t>
        </is>
      </c>
      <c r="I24" s="61" t="inlineStr">
        <is>
          <t>Selesai</t>
        </is>
      </c>
      <c r="J24" s="63" t="inlineStr">
        <is>
          <t>Ibadah, skincare &amp; pakaian siap</t>
        </is>
      </c>
    </row>
    <row r="25" ht="20" customHeight="1">
      <c r="B25" s="61" t="inlineStr">
        <is>
          <t>✓</t>
        </is>
      </c>
      <c r="C25" s="62" t="n">
        <v>15</v>
      </c>
      <c r="D25" s="63" t="inlineStr">
        <is>
          <t>Booking wedding organizer (WO) &amp; tim pendukung Hari H</t>
        </is>
      </c>
      <c r="E25" s="62" t="inlineStr">
        <is>
          <t>5–3 Bulan</t>
        </is>
      </c>
      <c r="F25" s="62" t="inlineStr">
        <is>
          <t>WO</t>
        </is>
      </c>
      <c r="G25" s="61" t="inlineStr">
        <is>
          <t>Tinggi</t>
        </is>
      </c>
      <c r="H25" s="62" t="inlineStr">
        <is>
          <t>30 Jun 2026</t>
        </is>
      </c>
      <c r="I25" s="61" t="inlineStr">
        <is>
          <t>Selesai</t>
        </is>
      </c>
      <c r="J25" s="63" t="inlineStr">
        <is>
          <t>Amanah WO 6 crew onsite</t>
        </is>
      </c>
    </row>
    <row r="26" ht="20" customHeight="1">
      <c r="B26" s="61" t="inlineStr">
        <is>
          <t>✓</t>
        </is>
      </c>
      <c r="C26" s="62" t="n">
        <v>16</v>
      </c>
      <c r="D26" s="63" t="inlineStr">
        <is>
          <t>Fitting pertama busana pengantin &amp; orang tua kedua pihak</t>
        </is>
      </c>
      <c r="E26" s="62" t="inlineStr">
        <is>
          <t>5–3 Bulan</t>
        </is>
      </c>
      <c r="F26" s="62" t="inlineStr">
        <is>
          <t>Busana</t>
        </is>
      </c>
      <c r="G26" s="61" t="inlineStr">
        <is>
          <t>Tinggi</t>
        </is>
      </c>
      <c r="H26" s="62" t="inlineStr">
        <is>
          <t>10 Jul 2026</t>
        </is>
      </c>
      <c r="I26" s="61" t="inlineStr">
        <is>
          <t>Selesai</t>
        </is>
      </c>
      <c r="J26" s="63" t="inlineStr">
        <is>
          <t>Penyesuaian ukuran kebaya</t>
        </is>
      </c>
    </row>
    <row r="27" ht="20" customHeight="1">
      <c r="B27" s="61" t="inlineStr">
        <is>
          <t>✓</t>
        </is>
      </c>
      <c r="C27" s="62" t="n">
        <v>17</v>
      </c>
      <c r="D27" s="63" t="inlineStr">
        <is>
          <t>Memilih souvenir pernikahan &amp; memesan kemasan custom</t>
        </is>
      </c>
      <c r="E27" s="62" t="inlineStr">
        <is>
          <t>5–3 Bulan</t>
        </is>
      </c>
      <c r="F27" s="62" t="inlineStr">
        <is>
          <t>Souvenir</t>
        </is>
      </c>
      <c r="G27" s="61" t="inlineStr">
        <is>
          <t>Sedang</t>
        </is>
      </c>
      <c r="H27" s="62" t="inlineStr">
        <is>
          <t>20 Jul 2026</t>
        </is>
      </c>
      <c r="I27" s="61" t="inlineStr">
        <is>
          <t>Selesai</t>
        </is>
      </c>
      <c r="J27" s="63" t="inlineStr">
        <is>
          <t>Pouch cutlery set diproduksi</t>
        </is>
      </c>
    </row>
    <row r="28" ht="20" customHeight="1">
      <c r="B28" s="61" t="inlineStr">
        <is>
          <t>✓</t>
        </is>
      </c>
      <c r="C28" s="62" t="n">
        <v>18</v>
      </c>
      <c r="D28" s="63" t="inlineStr">
        <is>
          <t>Pemesanan cincin kawin emas &amp; ukir grafir nama</t>
        </is>
      </c>
      <c r="E28" s="62" t="inlineStr">
        <is>
          <t>5–3 Bulan</t>
        </is>
      </c>
      <c r="F28" s="62" t="inlineStr">
        <is>
          <t>Mahar</t>
        </is>
      </c>
      <c r="G28" s="61" t="inlineStr">
        <is>
          <t>Tinggi</t>
        </is>
      </c>
      <c r="H28" s="62" t="inlineStr">
        <is>
          <t>30 Jul 2026</t>
        </is>
      </c>
      <c r="I28" s="61" t="inlineStr">
        <is>
          <t>Selesai</t>
        </is>
      </c>
      <c r="J28" s="63" t="inlineStr">
        <is>
          <t>Spilla Jewelry rose gold</t>
        </is>
      </c>
    </row>
    <row r="29" ht="20" customHeight="1">
      <c r="B29" s="61" t="inlineStr">
        <is>
          <t>✓</t>
        </is>
      </c>
      <c r="C29" s="62" t="n">
        <v>19</v>
      </c>
      <c r="D29" s="63" t="inlineStr">
        <is>
          <t>Booking hiburan musik akustik &amp; Master of Ceremony (MC)</t>
        </is>
      </c>
      <c r="E29" s="62" t="inlineStr">
        <is>
          <t>5–3 Bulan</t>
        </is>
      </c>
      <c r="F29" s="62" t="inlineStr">
        <is>
          <t>Entertainment</t>
        </is>
      </c>
      <c r="G29" s="61" t="inlineStr">
        <is>
          <t>Sedang</t>
        </is>
      </c>
      <c r="H29" s="62" t="inlineStr">
        <is>
          <t>05 Agu 2026</t>
        </is>
      </c>
      <c r="I29" s="61" t="inlineStr">
        <is>
          <t>Selesai</t>
        </is>
      </c>
      <c r="J29" s="63" t="inlineStr">
        <is>
          <t>Nada Harmoni &amp; Mas Dimas MC</t>
        </is>
      </c>
    </row>
    <row r="30" ht="20" customHeight="1">
      <c r="B30" s="42" t="inlineStr">
        <is>
          <t>⏳</t>
        </is>
      </c>
      <c r="C30" s="64" t="n">
        <v>20</v>
      </c>
      <c r="D30" s="65" t="inlineStr">
        <is>
          <t>Membeli kelengkapan seserahan kotak 5-8 &amp; pesan jasa hias</t>
        </is>
      </c>
      <c r="E30" s="64" t="inlineStr">
        <is>
          <t>2–1 Bulan</t>
        </is>
      </c>
      <c r="F30" s="64" t="inlineStr">
        <is>
          <t>Seserahan</t>
        </is>
      </c>
      <c r="G30" s="42" t="inlineStr">
        <is>
          <t>Tinggi</t>
        </is>
      </c>
      <c r="H30" s="64" t="inlineStr">
        <is>
          <t>15 Agu 2026</t>
        </is>
      </c>
      <c r="I30" s="42" t="inlineStr">
        <is>
          <t>Dalam Proses</t>
        </is>
      </c>
      <c r="J30" s="65" t="inlineStr">
        <is>
          <t>Kotak makeup &amp; bodycare dipacking</t>
        </is>
      </c>
    </row>
    <row r="31" ht="20" customHeight="1">
      <c r="B31" s="42" t="inlineStr">
        <is>
          <t>⏳</t>
        </is>
      </c>
      <c r="C31" s="64" t="n">
        <v>21</v>
      </c>
      <c r="D31" s="65" t="inlineStr">
        <is>
          <t>Mengurus surat pengantar RT/RW dan formulir N1-N4 Kelurahan</t>
        </is>
      </c>
      <c r="E31" s="64" t="inlineStr">
        <is>
          <t>2–1 Bulan</t>
        </is>
      </c>
      <c r="F31" s="64" t="inlineStr">
        <is>
          <t>Administrasi</t>
        </is>
      </c>
      <c r="G31" s="42" t="inlineStr">
        <is>
          <t>Tinggi</t>
        </is>
      </c>
      <c r="H31" s="64" t="inlineStr">
        <is>
          <t>20 Agu 2026</t>
        </is>
      </c>
      <c r="I31" s="42" t="inlineStr">
        <is>
          <t>Dalam Proses</t>
        </is>
      </c>
      <c r="J31" s="65" t="inlineStr">
        <is>
          <t>Berkas CPW selesai, CPP on process</t>
        </is>
      </c>
    </row>
    <row r="32" ht="20" customHeight="1">
      <c r="B32" s="42" t="inlineStr">
        <is>
          <t>⏳</t>
        </is>
      </c>
      <c r="C32" s="64" t="n">
        <v>22</v>
      </c>
      <c r="D32" s="65" t="inlineStr">
        <is>
          <t>Pemeriksaan kesehatan pranikah &amp; imunisasi TT di Puskesmas</t>
        </is>
      </c>
      <c r="E32" s="64" t="inlineStr">
        <is>
          <t>2–1 Bulan</t>
        </is>
      </c>
      <c r="F32" s="64" t="inlineStr">
        <is>
          <t>Administrasi</t>
        </is>
      </c>
      <c r="G32" s="42" t="inlineStr">
        <is>
          <t>Tinggi</t>
        </is>
      </c>
      <c r="H32" s="64" t="inlineStr">
        <is>
          <t>25 Agu 2026</t>
        </is>
      </c>
      <c r="I32" s="42" t="inlineStr">
        <is>
          <t>Dalam Proses</t>
        </is>
      </c>
      <c r="J32" s="65" t="inlineStr">
        <is>
          <t>Sertifikat Elsimil dalam proses</t>
        </is>
      </c>
    </row>
    <row r="33" ht="20" customHeight="1">
      <c r="B33" s="42" t="inlineStr">
        <is>
          <t>⏳</t>
        </is>
      </c>
      <c r="C33" s="64" t="n">
        <v>23</v>
      </c>
      <c r="D33" s="65" t="inlineStr">
        <is>
          <t>Pendaftaran online kehendak nikah di SIMKAH Kemenag</t>
        </is>
      </c>
      <c r="E33" s="64" t="inlineStr">
        <is>
          <t>2–1 Bulan</t>
        </is>
      </c>
      <c r="F33" s="64" t="inlineStr">
        <is>
          <t>Administrasi</t>
        </is>
      </c>
      <c r="G33" s="42" t="inlineStr">
        <is>
          <t>Tinggi</t>
        </is>
      </c>
      <c r="H33" s="64" t="inlineStr">
        <is>
          <t>01 Sep 2026</t>
        </is>
      </c>
      <c r="I33" s="42" t="inlineStr">
        <is>
          <t>Dalam Proses</t>
        </is>
      </c>
      <c r="J33" s="65" t="inlineStr">
        <is>
          <t>Bayar billing PNBP bedol</t>
        </is>
      </c>
    </row>
    <row r="34" ht="20" customHeight="1">
      <c r="B34" s="42" t="inlineStr">
        <is>
          <t>⏳</t>
        </is>
      </c>
      <c r="C34" s="64" t="n">
        <v>24</v>
      </c>
      <c r="D34" s="65" t="inlineStr">
        <is>
          <t>Finalisasi data guest list &amp; penomoran amplop undangan fisik</t>
        </is>
      </c>
      <c r="E34" s="64" t="inlineStr">
        <is>
          <t>2–1 Bulan</t>
        </is>
      </c>
      <c r="F34" s="64" t="inlineStr">
        <is>
          <t>Tamu</t>
        </is>
      </c>
      <c r="G34" s="42" t="inlineStr">
        <is>
          <t>Tinggi</t>
        </is>
      </c>
      <c r="H34" s="64" t="inlineStr">
        <is>
          <t>05 Sep 2026</t>
        </is>
      </c>
      <c r="I34" s="42" t="inlineStr">
        <is>
          <t>Dalam Proses</t>
        </is>
      </c>
      <c r="J34" s="65" t="inlineStr">
        <is>
          <t>55 nama inti telah diinput</t>
        </is>
      </c>
    </row>
    <row r="35" ht="20" customHeight="1">
      <c r="B35" s="42" t="inlineStr">
        <is>
          <t>⏳</t>
        </is>
      </c>
      <c r="C35" s="64" t="n">
        <v>25</v>
      </c>
      <c r="D35" s="65" t="inlineStr">
        <is>
          <t>Distribusi undangan fisik ke keluarga besar &amp; relasi VIP</t>
        </is>
      </c>
      <c r="E35" s="64" t="inlineStr">
        <is>
          <t>2–1 Bulan</t>
        </is>
      </c>
      <c r="F35" s="64" t="inlineStr">
        <is>
          <t>Undangan</t>
        </is>
      </c>
      <c r="G35" s="42" t="inlineStr">
        <is>
          <t>Tinggi</t>
        </is>
      </c>
      <c r="H35" s="64" t="inlineStr">
        <is>
          <t>10 Sep 2026</t>
        </is>
      </c>
      <c r="I35" s="42" t="inlineStr">
        <is>
          <t>Dalam Proses</t>
        </is>
      </c>
      <c r="J35" s="65" t="inlineStr">
        <is>
          <t>Kurir &amp; pengantaran bertahap</t>
        </is>
      </c>
    </row>
    <row r="36" ht="20" customHeight="1">
      <c r="B36" s="42" t="inlineStr">
        <is>
          <t>⏳</t>
        </is>
      </c>
      <c r="C36" s="64" t="n">
        <v>26</v>
      </c>
      <c r="D36" s="65" t="inlineStr">
        <is>
          <t>Broadcast website undangan digital via WhatsApp</t>
        </is>
      </c>
      <c r="E36" s="64" t="inlineStr">
        <is>
          <t>2–1 Bulan</t>
        </is>
      </c>
      <c r="F36" s="64" t="inlineStr">
        <is>
          <t>Undangan</t>
        </is>
      </c>
      <c r="G36" s="42" t="inlineStr">
        <is>
          <t>Sedang</t>
        </is>
      </c>
      <c r="H36" s="64" t="inlineStr">
        <is>
          <t>15 Sep 2026</t>
        </is>
      </c>
      <c r="I36" s="42" t="inlineStr">
        <is>
          <t>Dalam Proses</t>
        </is>
      </c>
      <c r="J36" s="65" t="inlineStr">
        <is>
          <t>Blast gelombang 1 dimulai</t>
        </is>
      </c>
    </row>
    <row r="37" ht="20" customHeight="1">
      <c r="B37" s="66" t="inlineStr">
        <is>
          <t>⬜</t>
        </is>
      </c>
      <c r="C37" s="15" t="n">
        <v>27</v>
      </c>
      <c r="D37" s="16" t="inlineStr">
        <is>
          <t>Meeting teknis keluarga (pembagian seragam &amp; konsumsi)</t>
        </is>
      </c>
      <c r="E37" s="15" t="inlineStr">
        <is>
          <t>2–1 Bulan</t>
        </is>
      </c>
      <c r="F37" s="15" t="inlineStr">
        <is>
          <t>Keluarga</t>
        </is>
      </c>
      <c r="G37" s="66" t="inlineStr">
        <is>
          <t>Sedang</t>
        </is>
      </c>
      <c r="H37" s="15" t="inlineStr">
        <is>
          <t>20 Sep 2026</t>
        </is>
      </c>
      <c r="I37" s="66" t="inlineStr">
        <is>
          <t>Belum Mulai</t>
        </is>
      </c>
      <c r="J37" s="16" t="inlineStr">
        <is>
          <t>Diagendakan akhir pekan</t>
        </is>
      </c>
    </row>
    <row r="38" ht="20" customHeight="1">
      <c r="B38" s="67" t="inlineStr">
        <is>
          <t>⬜</t>
        </is>
      </c>
      <c r="C38" s="19" t="n">
        <v>28</v>
      </c>
      <c r="D38" s="20" t="inlineStr">
        <is>
          <t>Fitting kedua / final busana pengantin &amp; orang tua</t>
        </is>
      </c>
      <c r="E38" s="19" t="inlineStr">
        <is>
          <t>2–1 Bulan</t>
        </is>
      </c>
      <c r="F38" s="19" t="inlineStr">
        <is>
          <t>Busana</t>
        </is>
      </c>
      <c r="G38" s="67" t="inlineStr">
        <is>
          <t>Tinggi</t>
        </is>
      </c>
      <c r="H38" s="19" t="inlineStr">
        <is>
          <t>25 Sep 2026</t>
        </is>
      </c>
      <c r="I38" s="67" t="inlineStr">
        <is>
          <t>Belum Mulai</t>
        </is>
      </c>
      <c r="J38" s="20" t="inlineStr">
        <is>
          <t>Memastikan kenyamanan saat duduk</t>
        </is>
      </c>
    </row>
    <row r="39" ht="20" customHeight="1">
      <c r="B39" s="42" t="inlineStr">
        <is>
          <t>⏳</t>
        </is>
      </c>
      <c r="C39" s="64" t="n">
        <v>29</v>
      </c>
      <c r="D39" s="65" t="inlineStr">
        <is>
          <t>Technical meeting (TM) seluruh vendor di venue acara</t>
        </is>
      </c>
      <c r="E39" s="64" t="inlineStr">
        <is>
          <t>H-30</t>
        </is>
      </c>
      <c r="F39" s="64" t="inlineStr">
        <is>
          <t>Vendor</t>
        </is>
      </c>
      <c r="G39" s="42" t="inlineStr">
        <is>
          <t>Tinggi</t>
        </is>
      </c>
      <c r="H39" s="64" t="inlineStr">
        <is>
          <t>12 Sep 2026</t>
        </is>
      </c>
      <c r="I39" s="42" t="inlineStr">
        <is>
          <t>Dalam Proses</t>
        </is>
      </c>
      <c r="J39" s="65" t="inlineStr">
        <is>
          <t>Koordinasi layout &amp; kelistrikan</t>
        </is>
      </c>
    </row>
    <row r="40" ht="20" customHeight="1">
      <c r="B40" s="42" t="inlineStr">
        <is>
          <t>⏳</t>
        </is>
      </c>
      <c r="C40" s="64" t="n">
        <v>30</v>
      </c>
      <c r="D40" s="65" t="inlineStr">
        <is>
          <t>Penyusunan rundown detail acara akad &amp; resepsi bersama WO</t>
        </is>
      </c>
      <c r="E40" s="64" t="inlineStr">
        <is>
          <t>H-30</t>
        </is>
      </c>
      <c r="F40" s="64" t="inlineStr">
        <is>
          <t>WO</t>
        </is>
      </c>
      <c r="G40" s="42" t="inlineStr">
        <is>
          <t>Tinggi</t>
        </is>
      </c>
      <c r="H40" s="64" t="inlineStr">
        <is>
          <t>15 Sep 2026</t>
        </is>
      </c>
      <c r="I40" s="42" t="inlineStr">
        <is>
          <t>Dalam Proses</t>
        </is>
      </c>
      <c r="J40" s="65" t="inlineStr">
        <is>
          <t>Draft v2 telah dibagikan</t>
        </is>
      </c>
    </row>
    <row r="41" ht="20" customHeight="1">
      <c r="B41" s="66" t="inlineStr">
        <is>
          <t>⬜</t>
        </is>
      </c>
      <c r="C41" s="15" t="n">
        <v>31</v>
      </c>
      <c r="D41" s="16" t="inlineStr">
        <is>
          <t>Konfirmasi final menu &amp; jumlah porsi dengan vendor catering</t>
        </is>
      </c>
      <c r="E41" s="15" t="inlineStr">
        <is>
          <t>H-30</t>
        </is>
      </c>
      <c r="F41" s="15" t="inlineStr">
        <is>
          <t>Catering</t>
        </is>
      </c>
      <c r="G41" s="66" t="inlineStr">
        <is>
          <t>Tinggi</t>
        </is>
      </c>
      <c r="H41" s="15" t="inlineStr">
        <is>
          <t>20 Sep 2026</t>
        </is>
      </c>
      <c r="I41" s="66" t="inlineStr">
        <is>
          <t>Belum Mulai</t>
        </is>
      </c>
      <c r="J41" s="16" t="inlineStr">
        <is>
          <t>Menyesuaikan angka RSVP sementara</t>
        </is>
      </c>
    </row>
    <row r="42" ht="20" customHeight="1">
      <c r="B42" s="42" t="inlineStr">
        <is>
          <t>⏳</t>
        </is>
      </c>
      <c r="C42" s="64" t="n">
        <v>32</v>
      </c>
      <c r="D42" s="65" t="inlineStr">
        <is>
          <t>Cek progress pembuatan frame mahar dan jasa hias seserahan</t>
        </is>
      </c>
      <c r="E42" s="64" t="inlineStr">
        <is>
          <t>H-30</t>
        </is>
      </c>
      <c r="F42" s="64" t="inlineStr">
        <is>
          <t>Seserahan</t>
        </is>
      </c>
      <c r="G42" s="42" t="inlineStr">
        <is>
          <t>Sedang</t>
        </is>
      </c>
      <c r="H42" s="64" t="inlineStr">
        <is>
          <t>25 Sep 2026</t>
        </is>
      </c>
      <c r="I42" s="42" t="inlineStr">
        <is>
          <t>Dalam Proses</t>
        </is>
      </c>
      <c r="J42" s="65" t="inlineStr">
        <is>
          <t>Kotak akrilik mulai dihias</t>
        </is>
      </c>
    </row>
    <row r="43" ht="20" customHeight="1">
      <c r="B43" s="66" t="inlineStr">
        <is>
          <t>⬜</t>
        </is>
      </c>
      <c r="C43" s="15" t="n">
        <v>33</v>
      </c>
      <c r="D43" s="16" t="inlineStr">
        <is>
          <t>Mengikuti Bimbingan Perkawinan (Bimwin) mandiri / KUA</t>
        </is>
      </c>
      <c r="E43" s="15" t="inlineStr">
        <is>
          <t>H-30</t>
        </is>
      </c>
      <c r="F43" s="15" t="inlineStr">
        <is>
          <t>Administrasi</t>
        </is>
      </c>
      <c r="G43" s="66" t="inlineStr">
        <is>
          <t>Tinggi</t>
        </is>
      </c>
      <c r="H43" s="15" t="inlineStr">
        <is>
          <t>28 Sep 2026</t>
        </is>
      </c>
      <c r="I43" s="66" t="inlineStr">
        <is>
          <t>Belum Mulai</t>
        </is>
      </c>
      <c r="J43" s="16" t="inlineStr">
        <is>
          <t>Jadwal KUA kecamatan</t>
        </is>
      </c>
    </row>
    <row r="44" ht="20" customHeight="1">
      <c r="B44" s="67" t="inlineStr">
        <is>
          <t>⬜</t>
        </is>
      </c>
      <c r="C44" s="19" t="n">
        <v>34</v>
      </c>
      <c r="D44" s="20" t="inlineStr">
        <is>
          <t>Follow up RSVP tamu undangan &amp; rekap kepastian hadir</t>
        </is>
      </c>
      <c r="E44" s="19" t="inlineStr">
        <is>
          <t>H-14</t>
        </is>
      </c>
      <c r="F44" s="19" t="inlineStr">
        <is>
          <t>Tamu</t>
        </is>
      </c>
      <c r="G44" s="67" t="inlineStr">
        <is>
          <t>Tinggi</t>
        </is>
      </c>
      <c r="H44" s="19" t="inlineStr">
        <is>
          <t>28 Sep 2026</t>
        </is>
      </c>
      <c r="I44" s="67" t="inlineStr">
        <is>
          <t>Belum Mulai</t>
        </is>
      </c>
      <c r="J44" s="20" t="inlineStr">
        <is>
          <t>Update sheet 07 — GUEST LIST</t>
        </is>
      </c>
    </row>
    <row r="45" ht="20" customHeight="1">
      <c r="B45" s="66" t="inlineStr">
        <is>
          <t>⬜</t>
        </is>
      </c>
      <c r="C45" s="15" t="n">
        <v>35</v>
      </c>
      <c r="D45" s="16" t="inlineStr">
        <is>
          <t>Pelunasan termin pembayaran seluruh vendor sesuai kontrak</t>
        </is>
      </c>
      <c r="E45" s="15" t="inlineStr">
        <is>
          <t>H-14</t>
        </is>
      </c>
      <c r="F45" s="15" t="inlineStr">
        <is>
          <t>Budget</t>
        </is>
      </c>
      <c r="G45" s="66" t="inlineStr">
        <is>
          <t>Tinggi</t>
        </is>
      </c>
      <c r="H45" s="15" t="inlineStr">
        <is>
          <t>01 Okt 2026</t>
        </is>
      </c>
      <c r="I45" s="66" t="inlineStr">
        <is>
          <t>Belum Mulai</t>
        </is>
      </c>
      <c r="J45" s="16" t="inlineStr">
        <is>
          <t>Pantau sheet 06 — VENDOR</t>
        </is>
      </c>
    </row>
    <row r="46" ht="20" customHeight="1">
      <c r="B46" s="67" t="inlineStr">
        <is>
          <t>⬜</t>
        </is>
      </c>
      <c r="C46" s="19" t="n">
        <v>36</v>
      </c>
      <c r="D46" s="20" t="inlineStr">
        <is>
          <t>Pengambilan frame mahar dan seluruh kotak seserahan hias</t>
        </is>
      </c>
      <c r="E46" s="19" t="inlineStr">
        <is>
          <t>H-14</t>
        </is>
      </c>
      <c r="F46" s="19" t="inlineStr">
        <is>
          <t>Seserahan</t>
        </is>
      </c>
      <c r="G46" s="67" t="inlineStr">
        <is>
          <t>Sedang</t>
        </is>
      </c>
      <c r="H46" s="19" t="inlineStr">
        <is>
          <t>03 Okt 2026</t>
        </is>
      </c>
      <c r="I46" s="67" t="inlineStr">
        <is>
          <t>Belum Mulai</t>
        </is>
      </c>
      <c r="J46" s="20" t="inlineStr">
        <is>
          <t>Disimpan di ruangan aman ber-AC</t>
        </is>
      </c>
    </row>
    <row r="47" ht="20" customHeight="1">
      <c r="B47" s="66" t="inlineStr">
        <is>
          <t>⬜</t>
        </is>
      </c>
      <c r="C47" s="15" t="n">
        <v>37</v>
      </c>
      <c r="D47" s="16" t="inlineStr">
        <is>
          <t>Perawatan spa pra-nikah, facial, lulur &amp; relaksasi tubuh</t>
        </is>
      </c>
      <c r="E47" s="15" t="inlineStr">
        <is>
          <t>H-14</t>
        </is>
      </c>
      <c r="F47" s="15" t="inlineStr">
        <is>
          <t>Pribadi</t>
        </is>
      </c>
      <c r="G47" s="66" t="inlineStr">
        <is>
          <t>Rendah</t>
        </is>
      </c>
      <c r="H47" s="15" t="inlineStr">
        <is>
          <t>05 Okt 2026</t>
        </is>
      </c>
      <c r="I47" s="66" t="inlineStr">
        <is>
          <t>Belum Mulai</t>
        </is>
      </c>
      <c r="J47" s="16" t="inlineStr">
        <is>
          <t>Self care calon pengantin</t>
        </is>
      </c>
    </row>
    <row r="48" ht="20" customHeight="1">
      <c r="B48" s="67" t="inlineStr">
        <is>
          <t>⬜</t>
        </is>
      </c>
      <c r="C48" s="19" t="n">
        <v>38</v>
      </c>
      <c r="D48" s="20" t="inlineStr">
        <is>
          <t>Konfirmasi final seluruh vendor H-7 (PIC, jam tiba, armada)</t>
        </is>
      </c>
      <c r="E48" s="19" t="inlineStr">
        <is>
          <t>H-7</t>
        </is>
      </c>
      <c r="F48" s="19" t="inlineStr">
        <is>
          <t>Vendor</t>
        </is>
      </c>
      <c r="G48" s="67" t="inlineStr">
        <is>
          <t>Tinggi</t>
        </is>
      </c>
      <c r="H48" s="19" t="inlineStr">
        <is>
          <t>05 Okt 2026</t>
        </is>
      </c>
      <c r="I48" s="67" t="inlineStr">
        <is>
          <t>Belum Mulai</t>
        </is>
      </c>
      <c r="J48" s="20" t="inlineStr">
        <is>
          <t>Dipimpin oleh Koordinator WO</t>
        </is>
      </c>
    </row>
    <row r="49" ht="20" customHeight="1">
      <c r="B49" s="66" t="inlineStr">
        <is>
          <t>⬜</t>
        </is>
      </c>
      <c r="C49" s="15" t="n">
        <v>39</v>
      </c>
      <c r="D49" s="16" t="inlineStr">
        <is>
          <t>Gladi resik akad nikah &amp; pembacaan ijab qobul</t>
        </is>
      </c>
      <c r="E49" s="15" t="inlineStr">
        <is>
          <t>H-7</t>
        </is>
      </c>
      <c r="F49" s="15" t="inlineStr">
        <is>
          <t>Acara</t>
        </is>
      </c>
      <c r="G49" s="66" t="inlineStr">
        <is>
          <t>Tinggi</t>
        </is>
      </c>
      <c r="H49" s="15" t="inlineStr">
        <is>
          <t>07 Okt 2026</t>
        </is>
      </c>
      <c r="I49" s="66" t="inlineStr">
        <is>
          <t>Belum Mulai</t>
        </is>
      </c>
      <c r="J49" s="16" t="inlineStr">
        <is>
          <t>Bersama wali &amp; saksi nikah</t>
        </is>
      </c>
    </row>
    <row r="50" ht="20" customHeight="1">
      <c r="B50" s="67" t="inlineStr">
        <is>
          <t>⬜</t>
        </is>
      </c>
      <c r="C50" s="19" t="n">
        <v>40</v>
      </c>
      <c r="D50" s="20" t="inlineStr">
        <is>
          <t>Menyiapkan amplop tips untuk petugas keamanan, kebersihan &amp; driver</t>
        </is>
      </c>
      <c r="E50" s="19" t="inlineStr">
        <is>
          <t>H-7</t>
        </is>
      </c>
      <c r="F50" s="19" t="inlineStr">
        <is>
          <t>Keuangan</t>
        </is>
      </c>
      <c r="G50" s="67" t="inlineStr">
        <is>
          <t>Sedang</t>
        </is>
      </c>
      <c r="H50" s="19" t="inlineStr">
        <is>
          <t>09 Okt 2026</t>
        </is>
      </c>
      <c r="I50" s="67" t="inlineStr">
        <is>
          <t>Belum Mulai</t>
        </is>
      </c>
      <c r="J50" s="20" t="inlineStr">
        <is>
          <t>Diserahkan ke bendahara keluarga</t>
        </is>
      </c>
    </row>
    <row r="51" ht="20" customHeight="1">
      <c r="B51" s="66" t="inlineStr">
        <is>
          <t>⬜</t>
        </is>
      </c>
      <c r="C51" s="15" t="n">
        <v>41</v>
      </c>
      <c r="D51" s="16" t="inlineStr">
        <is>
          <t>Packing busana, perhiasan, sepatu, dan aksesoris ke dalam koper</t>
        </is>
      </c>
      <c r="E51" s="15" t="inlineStr">
        <is>
          <t>H-7</t>
        </is>
      </c>
      <c r="F51" s="15" t="inlineStr">
        <is>
          <t>Logistik</t>
        </is>
      </c>
      <c r="G51" s="66" t="inlineStr">
        <is>
          <t>Tinggi</t>
        </is>
      </c>
      <c r="H51" s="15" t="inlineStr">
        <is>
          <t>10 Okt 2026</t>
        </is>
      </c>
      <c r="I51" s="66" t="inlineStr">
        <is>
          <t>Belum Mulai</t>
        </is>
      </c>
      <c r="J51" s="16" t="inlineStr">
        <is>
          <t>Label koper CPW &amp; CPP jelas</t>
        </is>
      </c>
    </row>
    <row r="52" ht="20" customHeight="1">
      <c r="B52" s="67" t="inlineStr">
        <is>
          <t>⬜</t>
        </is>
      </c>
      <c r="C52" s="19" t="n">
        <v>42</v>
      </c>
      <c r="D52" s="20" t="inlineStr">
        <is>
          <t>Check-in kamar hotel persiapan pengantin &amp; keluarga</t>
        </is>
      </c>
      <c r="E52" s="19" t="inlineStr">
        <is>
          <t>H-1</t>
        </is>
      </c>
      <c r="F52" s="19" t="inlineStr">
        <is>
          <t>Hotel</t>
        </is>
      </c>
      <c r="G52" s="67" t="inlineStr">
        <is>
          <t>Tinggi</t>
        </is>
      </c>
      <c r="H52" s="19" t="inlineStr">
        <is>
          <t>11 Okt 2026</t>
        </is>
      </c>
      <c r="I52" s="67" t="inlineStr">
        <is>
          <t>Belum Mulai</t>
        </is>
      </c>
      <c r="J52" s="20" t="inlineStr">
        <is>
          <t>Kamar 302 &amp; 304 Grand Harmony</t>
        </is>
      </c>
    </row>
    <row r="53" ht="20" customHeight="1">
      <c r="B53" s="66" t="inlineStr">
        <is>
          <t>⬜</t>
        </is>
      </c>
      <c r="C53" s="15" t="n">
        <v>43</v>
      </c>
      <c r="D53" s="16" t="inlineStr">
        <is>
          <t>Loading vendor dekorasi, audio, dan lighting di venue</t>
        </is>
      </c>
      <c r="E53" s="15" t="inlineStr">
        <is>
          <t>H-1</t>
        </is>
      </c>
      <c r="F53" s="15" t="inlineStr">
        <is>
          <t>Venue</t>
        </is>
      </c>
      <c r="G53" s="66" t="inlineStr">
        <is>
          <t>Tinggi</t>
        </is>
      </c>
      <c r="H53" s="15" t="inlineStr">
        <is>
          <t>11 Okt 2026</t>
        </is>
      </c>
      <c r="I53" s="66" t="inlineStr">
        <is>
          <t>Belum Mulai</t>
        </is>
      </c>
      <c r="J53" s="16" t="inlineStr">
        <is>
          <t>Mulai jam 20.00 WIB</t>
        </is>
      </c>
    </row>
    <row r="54" ht="20" customHeight="1">
      <c r="B54" s="67" t="inlineStr">
        <is>
          <t>⬜</t>
        </is>
      </c>
      <c r="C54" s="19" t="n">
        <v>44</v>
      </c>
      <c r="D54" s="20" t="inlineStr">
        <is>
          <t>Istirahat cukup, hindari makanan berminyak, tidur lebih awal</t>
        </is>
      </c>
      <c r="E54" s="19" t="inlineStr">
        <is>
          <t>H-1</t>
        </is>
      </c>
      <c r="F54" s="19" t="inlineStr">
        <is>
          <t>Pribadi</t>
        </is>
      </c>
      <c r="G54" s="67" t="inlineStr">
        <is>
          <t>Tinggi</t>
        </is>
      </c>
      <c r="H54" s="19" t="inlineStr">
        <is>
          <t>11 Okt 2026</t>
        </is>
      </c>
      <c r="I54" s="67" t="inlineStr">
        <is>
          <t>Belum Mulai</t>
        </is>
      </c>
      <c r="J54" s="20" t="inlineStr">
        <is>
          <t>Kondisi tubuh prima untuk Hari H</t>
        </is>
      </c>
    </row>
    <row r="55" ht="20" customHeight="1">
      <c r="B55" s="66" t="inlineStr">
        <is>
          <t>⬜</t>
        </is>
      </c>
      <c r="C55" s="15" t="n">
        <v>45</v>
      </c>
      <c r="D55" s="16" t="inlineStr">
        <is>
          <t>MUA mulai merias pengantin &amp; keluarga (Jam 04.30 WIB)</t>
        </is>
      </c>
      <c r="E55" s="15" t="inlineStr">
        <is>
          <t>Hari H</t>
        </is>
      </c>
      <c r="F55" s="15" t="inlineStr">
        <is>
          <t>MUA</t>
        </is>
      </c>
      <c r="G55" s="66" t="inlineStr">
        <is>
          <t>Tinggi</t>
        </is>
      </c>
      <c r="H55" s="15" t="inlineStr">
        <is>
          <t>12 Okt 2026</t>
        </is>
      </c>
      <c r="I55" s="66" t="inlineStr">
        <is>
          <t>Belum Mulai</t>
        </is>
      </c>
      <c r="J55" s="16" t="inlineStr">
        <is>
          <t>Sesuai jadwal Nadia Beauty</t>
        </is>
      </c>
    </row>
    <row r="56" ht="20" customHeight="1">
      <c r="B56" s="67" t="inlineStr">
        <is>
          <t>⬜</t>
        </is>
      </c>
      <c r="C56" s="19" t="n">
        <v>46</v>
      </c>
      <c r="D56" s="20" t="inlineStr">
        <is>
          <t>Pelaksanaan prosesi Akad Nikah sakral (Jam 08.00 WIB)</t>
        </is>
      </c>
      <c r="E56" s="19" t="inlineStr">
        <is>
          <t>Hari H</t>
        </is>
      </c>
      <c r="F56" s="19" t="inlineStr">
        <is>
          <t>Acara</t>
        </is>
      </c>
      <c r="G56" s="67" t="inlineStr">
        <is>
          <t>Tinggi</t>
        </is>
      </c>
      <c r="H56" s="19" t="inlineStr">
        <is>
          <t>12 Okt 2026</t>
        </is>
      </c>
      <c r="I56" s="67" t="inlineStr">
        <is>
          <t>Belum Mulai</t>
        </is>
      </c>
      <c r="J56" s="20" t="inlineStr">
        <is>
          <t>Dipandu penghulu KUA &amp; WO</t>
        </is>
      </c>
    </row>
    <row r="57" ht="20" customHeight="1">
      <c r="B57" s="66" t="inlineStr">
        <is>
          <t>⬜</t>
        </is>
      </c>
      <c r="C57" s="15" t="n">
        <v>47</v>
      </c>
      <c r="D57" s="16" t="inlineStr">
        <is>
          <t>Pelaksanaan Resepsi Pernikahan penuh bahagia (Jam 11.00 WIB)</t>
        </is>
      </c>
      <c r="E57" s="15" t="inlineStr">
        <is>
          <t>Hari H</t>
        </is>
      </c>
      <c r="F57" s="15" t="inlineStr">
        <is>
          <t>Acara</t>
        </is>
      </c>
      <c r="G57" s="66" t="inlineStr">
        <is>
          <t>Tinggi</t>
        </is>
      </c>
      <c r="H57" s="15" t="inlineStr">
        <is>
          <t>12 Okt 2026</t>
        </is>
      </c>
      <c r="I57" s="66" t="inlineStr">
        <is>
          <t>Belum Mulai</t>
        </is>
      </c>
      <c r="J57" s="16" t="inlineStr">
        <is>
          <t>Menyambut keluarga dan sahabat</t>
        </is>
      </c>
    </row>
  </sheetData>
  <mergeCells count="12">
    <mergeCell ref="H5"/>
    <mergeCell ref="B3:J3"/>
    <mergeCell ref="I6:J7"/>
    <mergeCell ref="B5:C5"/>
    <mergeCell ref="F5:G5"/>
    <mergeCell ref="D5:E5"/>
    <mergeCell ref="H6:H7"/>
    <mergeCell ref="D6:E7"/>
    <mergeCell ref="B6:C7"/>
    <mergeCell ref="I5:J5"/>
    <mergeCell ref="F6:G7"/>
    <mergeCell ref="B2:J2"/>
  </mergeCells>
  <dataValidations count="2">
    <dataValidation sqref="I11:I55" showDropDown="0" showInputMessage="0" showErrorMessage="0" allowBlank="1" type="list">
      <formula1>"Belum Mulai,Dalam Proses,Selesai"</formula1>
    </dataValidation>
    <dataValidation sqref="G11:G55" showDropDown="0" showInputMessage="0" showErrorMessage="0" allowBlank="1" type="list">
      <formula1>"Tinggi,Sedang,Rendah"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89A70"/>
    <outlinePr summaryBelow="1" summaryRight="1"/>
    <pageSetUpPr/>
  </sheetPr>
  <dimension ref="B2:J30"/>
  <sheetViews>
    <sheetView showGridLines="1" workbookViewId="0">
      <pane xSplit="3" ySplit="14" topLeftCell="D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15" customWidth="1" min="3" max="3"/>
    <col width="25" customWidth="1" min="4" max="4"/>
    <col width="25" customWidth="1" min="5" max="5"/>
    <col width="15" customWidth="1" min="6" max="6"/>
    <col width="20" customWidth="1" min="7" max="7"/>
    <col width="16" customWidth="1" min="8" max="8"/>
    <col width="25" customWidth="1" min="9" max="9"/>
    <col width="25" customWidth="1" min="10" max="10"/>
  </cols>
  <sheetData>
    <row r="2" ht="36" customHeight="1">
      <c r="B2" s="1" t="inlineStr">
        <is>
          <t xml:space="preserve">  TIMELINE &amp; ROADMAP PERNIKAHAN  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 ht="20" customHeight="1">
      <c r="B3" s="3" t="inlineStr">
        <is>
          <t xml:space="preserve">  Pemetaan tonggak pencapaian (milestone) dan jadwal persiapan terpadu.  </t>
        </is>
      </c>
      <c r="C3" s="4" t="n"/>
      <c r="D3" s="4" t="n"/>
      <c r="E3" s="4" t="n"/>
      <c r="F3" s="4" t="n"/>
      <c r="G3" s="4" t="n"/>
      <c r="H3" s="4" t="n"/>
      <c r="I3" s="4" t="n"/>
      <c r="J3" s="4" t="n"/>
    </row>
    <row r="5" ht="20" customHeight="1">
      <c r="B5" s="30" t="inlineStr">
        <is>
          <t>FASE 1  •  H-12 s/d H-9 Bulan</t>
        </is>
      </c>
      <c r="C5" s="68" t="n"/>
      <c r="D5" s="69" t="n"/>
      <c r="E5" s="30" t="inlineStr">
        <is>
          <t>FASE 2  •  H-8 s/d H-6 Bulan</t>
        </is>
      </c>
      <c r="F5" s="68" t="n"/>
      <c r="G5" s="69" t="n"/>
      <c r="H5" s="30" t="inlineStr">
        <is>
          <t>FASE 3  •  H-5 s/d H-3 Bulan</t>
        </is>
      </c>
      <c r="I5" s="68" t="n"/>
      <c r="J5" s="69" t="n"/>
    </row>
    <row r="6" ht="20" customHeight="1">
      <c r="B6" s="70" t="inlineStr">
        <is>
          <t>Fondasi &amp; Anggaran</t>
        </is>
      </c>
      <c r="C6" s="45" t="n"/>
      <c r="D6" s="33" t="n"/>
      <c r="E6" s="70" t="inlineStr">
        <is>
          <t>Core Vendors</t>
        </is>
      </c>
      <c r="F6" s="45" t="n"/>
      <c r="G6" s="33" t="n"/>
      <c r="H6" s="70" t="inlineStr">
        <is>
          <t>Desain &amp; Busana</t>
        </is>
      </c>
      <c r="I6" s="45" t="n"/>
      <c r="J6" s="33" t="n"/>
    </row>
    <row r="7" ht="36" customHeight="1">
      <c r="B7" s="71" t="inlineStr">
        <is>
          <t>Penentuan tanggal, komitmen budget, booking venue akad &amp; ballroom.</t>
        </is>
      </c>
      <c r="C7" s="46" t="n"/>
      <c r="D7" s="37" t="n"/>
      <c r="E7" s="71" t="inlineStr">
        <is>
          <t>Test food catering, booking dekorasi, MUA, dokumentasi, foto prewed.</t>
        </is>
      </c>
      <c r="F7" s="46" t="n"/>
      <c r="G7" s="37" t="n"/>
      <c r="H7" s="71" t="inlineStr">
        <is>
          <t>Cetak undangan, booking WO, fitting busana, cicil seserahan &amp; cincin.</t>
        </is>
      </c>
      <c r="I7" s="46" t="n"/>
      <c r="J7" s="37" t="n"/>
    </row>
    <row r="9" ht="20" customHeight="1">
      <c r="B9" s="30" t="inlineStr">
        <is>
          <t>FASE 4  •  H-2 s/d H-1 Bulan</t>
        </is>
      </c>
      <c r="C9" s="68" t="n"/>
      <c r="D9" s="69" t="n"/>
      <c r="E9" s="30" t="inlineStr">
        <is>
          <t>FASE 5  •  H-14 s/d H-1</t>
        </is>
      </c>
      <c r="F9" s="68" t="n"/>
      <c r="G9" s="69" t="n"/>
      <c r="H9" s="30" t="inlineStr">
        <is>
          <t>FASE 6  •  HARI H</t>
        </is>
      </c>
      <c r="I9" s="68" t="n"/>
      <c r="J9" s="69" t="n"/>
    </row>
    <row r="10" ht="20" customHeight="1">
      <c r="B10" s="70" t="inlineStr">
        <is>
          <t>Administrasi &amp; Tamu</t>
        </is>
      </c>
      <c r="C10" s="45" t="n"/>
      <c r="D10" s="33" t="n"/>
      <c r="E10" s="70" t="inlineStr">
        <is>
          <t>Final Countdown</t>
        </is>
      </c>
      <c r="F10" s="45" t="n"/>
      <c r="G10" s="33" t="n"/>
      <c r="H10" s="70" t="inlineStr">
        <is>
          <t>The Big Day</t>
        </is>
      </c>
      <c r="I10" s="45" t="n"/>
      <c r="J10" s="33" t="n"/>
    </row>
    <row r="11" ht="36" customHeight="1">
      <c r="B11" s="71" t="inlineStr">
        <is>
          <t>Berkas KUA SIMKAH, sebar undangan, packing seserahan, rundown.</t>
        </is>
      </c>
      <c r="C11" s="46" t="n"/>
      <c r="D11" s="37" t="n"/>
      <c r="E11" s="71" t="inlineStr">
        <is>
          <t>Pelunasan vendor, TM vendor, gladi resik, check-in hotel persiapan.</t>
        </is>
      </c>
      <c r="F11" s="46" t="n"/>
      <c r="G11" s="37" t="n"/>
      <c r="H11" s="71" t="inlineStr">
        <is>
          <t>Akad nikah khidmat, resepsi bahagia, dokumentasi kenangan abadi.</t>
        </is>
      </c>
      <c r="I11" s="46" t="n"/>
      <c r="J11" s="37" t="n"/>
    </row>
    <row r="13" ht="26" customHeight="1">
      <c r="B13" s="5" t="inlineStr">
        <is>
          <t>📅  JADWAL MASTER PERSIAPAN &amp; PENANGGUNG JAWAB (PIC)</t>
        </is>
      </c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24" customHeight="1">
      <c r="B14" s="38" t="inlineStr">
        <is>
          <t>NO</t>
        </is>
      </c>
      <c r="C14" s="38" t="inlineStr">
        <is>
          <t>TAHAPAN WAKTU</t>
        </is>
      </c>
      <c r="D14" s="39" t="inlineStr">
        <is>
          <t>AGENDA &amp; TARGET EKSEKUSI</t>
        </is>
      </c>
      <c r="E14" s="40" t="n"/>
      <c r="F14" s="38" t="inlineStr">
        <is>
          <t>DEADLINE</t>
        </is>
      </c>
      <c r="G14" s="38" t="inlineStr">
        <is>
          <t>PIC UTAMA</t>
        </is>
      </c>
      <c r="H14" s="38" t="inlineStr">
        <is>
          <t>STATUS</t>
        </is>
      </c>
      <c r="I14" s="39" t="inlineStr">
        <is>
          <t>CATATAN KOORDINASI</t>
        </is>
      </c>
      <c r="J14" s="40" t="n"/>
    </row>
    <row r="15" ht="20" customHeight="1">
      <c r="B15" s="62" t="n">
        <v>1</v>
      </c>
      <c r="C15" s="62" t="inlineStr">
        <is>
          <t>H-12 Bulan</t>
        </is>
      </c>
      <c r="D15" s="63" t="inlineStr">
        <is>
          <t>Pertemuan kedua keluarga, penentuan tanggal, alokasi budget</t>
        </is>
      </c>
      <c r="E15" s="72" t="n"/>
      <c r="F15" s="62" t="inlineStr">
        <is>
          <t>15 Nov 2025</t>
        </is>
      </c>
      <c r="G15" s="62" t="inlineStr">
        <is>
          <t>Kedua Calon &amp; Ortu</t>
        </is>
      </c>
      <c r="H15" s="61" t="inlineStr">
        <is>
          <t>Selesai</t>
        </is>
      </c>
      <c r="I15" s="63" t="inlineStr">
        <is>
          <t>Disepakati tanggal 12 Okt 2026</t>
        </is>
      </c>
      <c r="J15" s="72" t="n"/>
    </row>
    <row r="16" ht="20" customHeight="1">
      <c r="B16" s="62" t="n">
        <v>2</v>
      </c>
      <c r="C16" s="62" t="inlineStr">
        <is>
          <t>H-11 Bulan</t>
        </is>
      </c>
      <c r="D16" s="63" t="inlineStr">
        <is>
          <t>Survey venue ballroom Jakarta Selatan &amp; ketersediaan tanggal</t>
        </is>
      </c>
      <c r="E16" s="72" t="n"/>
      <c r="F16" s="62" t="inlineStr">
        <is>
          <t>15 Des 2025</t>
        </is>
      </c>
      <c r="G16" s="62" t="inlineStr">
        <is>
          <t>Arif &amp; Rina</t>
        </is>
      </c>
      <c r="H16" s="61" t="inlineStr">
        <is>
          <t>Selesai</t>
        </is>
      </c>
      <c r="I16" s="63" t="inlineStr">
        <is>
          <t>Grand Harmony Ballroom di-booking</t>
        </is>
      </c>
      <c r="J16" s="72" t="n"/>
    </row>
    <row r="17" ht="20" customHeight="1">
      <c r="B17" s="62" t="n">
        <v>3</v>
      </c>
      <c r="C17" s="62" t="inlineStr">
        <is>
          <t>H-9 Bulan</t>
        </is>
      </c>
      <c r="D17" s="63" t="inlineStr">
        <is>
          <t>Test food catering keluarga &amp; survey paket rekanan</t>
        </is>
      </c>
      <c r="E17" s="72" t="n"/>
      <c r="F17" s="62" t="inlineStr">
        <is>
          <t>15 Feb 2026</t>
        </is>
      </c>
      <c r="G17" s="62" t="inlineStr">
        <is>
          <t>Ibu Rina &amp; Arif</t>
        </is>
      </c>
      <c r="H17" s="61" t="inlineStr">
        <is>
          <t>Selesai</t>
        </is>
      </c>
      <c r="I17" s="63" t="inlineStr">
        <is>
          <t>Sari Rasa 500 pax dipilih</t>
        </is>
      </c>
      <c r="J17" s="72" t="n"/>
    </row>
    <row r="18" ht="20" customHeight="1">
      <c r="B18" s="62" t="n">
        <v>4</v>
      </c>
      <c r="C18" s="62" t="inlineStr">
        <is>
          <t>H-8 Bulan</t>
        </is>
      </c>
      <c r="D18" s="63" t="inlineStr">
        <is>
          <t>Booking dekorasi pelaminan modern floral &amp; dokumentasi foto</t>
        </is>
      </c>
      <c r="E18" s="72" t="n"/>
      <c r="F18" s="62" t="inlineStr">
        <is>
          <t>15 Mar 2026</t>
        </is>
      </c>
      <c r="G18" s="62" t="inlineStr">
        <is>
          <t>Rina</t>
        </is>
      </c>
      <c r="H18" s="61" t="inlineStr">
        <is>
          <t>Selesai</t>
        </is>
      </c>
      <c r="I18" s="63" t="inlineStr">
        <is>
          <t>Bloom &amp; Co. &amp; Lensa Kita</t>
        </is>
      </c>
      <c r="J18" s="72" t="n"/>
    </row>
    <row r="19" ht="20" customHeight="1">
      <c r="B19" s="62" t="n">
        <v>5</v>
      </c>
      <c r="C19" s="62" t="inlineStr">
        <is>
          <t>H-7 Bulan</t>
        </is>
      </c>
      <c r="D19" s="63" t="inlineStr">
        <is>
          <t>Booking MUA pengantin, busana akad, dan seragam keluarga</t>
        </is>
      </c>
      <c r="E19" s="72" t="n"/>
      <c r="F19" s="62" t="inlineStr">
        <is>
          <t>15 Apr 2026</t>
        </is>
      </c>
      <c r="G19" s="62" t="inlineStr">
        <is>
          <t>Rina &amp; Ibu</t>
        </is>
      </c>
      <c r="H19" s="61" t="inlineStr">
        <is>
          <t>Selesai</t>
        </is>
      </c>
      <c r="I19" s="63" t="inlineStr">
        <is>
          <t>Nadia Beauty &amp; Sanggar Ayu</t>
        </is>
      </c>
      <c r="J19" s="72" t="n"/>
    </row>
    <row r="20" ht="20" customHeight="1">
      <c r="B20" s="62" t="n">
        <v>6</v>
      </c>
      <c r="C20" s="62" t="inlineStr">
        <is>
          <t>H-6 Bulan</t>
        </is>
      </c>
      <c r="D20" s="63" t="inlineStr">
        <is>
          <t>Sesi foto prewedding di Kebun Raya Bogor</t>
        </is>
      </c>
      <c r="E20" s="72" t="n"/>
      <c r="F20" s="62" t="inlineStr">
        <is>
          <t>15 Mei 2026</t>
        </is>
      </c>
      <c r="G20" s="62" t="inlineStr">
        <is>
          <t>Arif &amp; Rina</t>
        </is>
      </c>
      <c r="H20" s="61" t="inlineStr">
        <is>
          <t>Selesai</t>
        </is>
      </c>
      <c r="I20" s="63" t="inlineStr">
        <is>
          <t>Teaser prewed siap</t>
        </is>
      </c>
      <c r="J20" s="72" t="n"/>
    </row>
    <row r="21" ht="20" customHeight="1">
      <c r="B21" s="62" t="n">
        <v>7</v>
      </c>
      <c r="C21" s="62" t="inlineStr">
        <is>
          <t>H-5 Bulan</t>
        </is>
      </c>
      <c r="D21" s="63" t="inlineStr">
        <is>
          <t>Finalisasi desain undangan fisik, digital, dan souvenir</t>
        </is>
      </c>
      <c r="E21" s="72" t="n"/>
      <c r="F21" s="62" t="inlineStr">
        <is>
          <t>15 Jun 2026</t>
        </is>
      </c>
      <c r="G21" s="62" t="inlineStr">
        <is>
          <t>Arif</t>
        </is>
      </c>
      <c r="H21" s="61" t="inlineStr">
        <is>
          <t>Selesai</t>
        </is>
      </c>
      <c r="I21" s="63" t="inlineStr">
        <is>
          <t>Undangan dicetak 100 pcs</t>
        </is>
      </c>
      <c r="J21" s="72" t="n"/>
    </row>
    <row r="22" ht="20" customHeight="1">
      <c r="B22" s="62" t="n">
        <v>8</v>
      </c>
      <c r="C22" s="62" t="inlineStr">
        <is>
          <t>H-4 Bulan</t>
        </is>
      </c>
      <c r="D22" s="63" t="inlineStr">
        <is>
          <t>Booking Wedding Organizer (WO) &amp; cicil belanja seserahan</t>
        </is>
      </c>
      <c r="E22" s="72" t="n"/>
      <c r="F22" s="62" t="inlineStr">
        <is>
          <t>15 Jul 2026</t>
        </is>
      </c>
      <c r="G22" s="62" t="inlineStr">
        <is>
          <t>Arif &amp; Rina</t>
        </is>
      </c>
      <c r="H22" s="61" t="inlineStr">
        <is>
          <t>Selesai</t>
        </is>
      </c>
      <c r="I22" s="63" t="inlineStr">
        <is>
          <t>Amanah WO siap berkolaborasi</t>
        </is>
      </c>
      <c r="J22" s="72" t="n"/>
    </row>
    <row r="23" ht="20" customHeight="1">
      <c r="B23" s="62" t="n">
        <v>9</v>
      </c>
      <c r="C23" s="62" t="inlineStr">
        <is>
          <t>H-3 Bulan</t>
        </is>
      </c>
      <c r="D23" s="63" t="inlineStr">
        <is>
          <t>Fitting pertama busana pengantin &amp; beli cincin kawin</t>
        </is>
      </c>
      <c r="E23" s="72" t="n"/>
      <c r="F23" s="62" t="inlineStr">
        <is>
          <t>15 Agu 2026</t>
        </is>
      </c>
      <c r="G23" s="62" t="inlineStr">
        <is>
          <t>Rina &amp; Arif</t>
        </is>
      </c>
      <c r="H23" s="61" t="inlineStr">
        <is>
          <t>Selesai</t>
        </is>
      </c>
      <c r="I23" s="63" t="inlineStr">
        <is>
          <t>Spilla Jewelry rose gold</t>
        </is>
      </c>
      <c r="J23" s="72" t="n"/>
    </row>
    <row r="24" ht="20" customHeight="1">
      <c r="B24" s="64" t="n">
        <v>10</v>
      </c>
      <c r="C24" s="64" t="inlineStr">
        <is>
          <t>H-2 Bulan</t>
        </is>
      </c>
      <c r="D24" s="65" t="inlineStr">
        <is>
          <t>Pengurusan surat RT/RW, Kelurahan N1-N4 &amp; Puskesmas</t>
        </is>
      </c>
      <c r="E24" s="73" t="n"/>
      <c r="F24" s="64" t="inlineStr">
        <is>
          <t>10 Sep 2026</t>
        </is>
      </c>
      <c r="G24" s="64" t="inlineStr">
        <is>
          <t>Arif &amp; Ayah Rina</t>
        </is>
      </c>
      <c r="H24" s="42" t="inlineStr">
        <is>
          <t>Dalam Proses</t>
        </is>
      </c>
      <c r="I24" s="65" t="inlineStr">
        <is>
          <t>Surat rekomendasi nikah diurus</t>
        </is>
      </c>
      <c r="J24" s="73" t="n"/>
    </row>
    <row r="25" ht="20" customHeight="1">
      <c r="B25" s="64" t="n">
        <v>11</v>
      </c>
      <c r="C25" s="64" t="inlineStr">
        <is>
          <t>H-1 Bulan</t>
        </is>
      </c>
      <c r="D25" s="65" t="inlineStr">
        <is>
          <t>Distribusi undangan fisik &amp; broadcast website undangan</t>
        </is>
      </c>
      <c r="E25" s="73" t="n"/>
      <c r="F25" s="64" t="inlineStr">
        <is>
          <t>20 Sep 2026</t>
        </is>
      </c>
      <c r="G25" s="64" t="inlineStr">
        <is>
          <t>Keluarga Besar</t>
        </is>
      </c>
      <c r="H25" s="42" t="inlineStr">
        <is>
          <t>Dalam Proses</t>
        </is>
      </c>
      <c r="I25" s="65" t="inlineStr">
        <is>
          <t>Distribusi berjalan 70%</t>
        </is>
      </c>
      <c r="J25" s="73" t="n"/>
    </row>
    <row r="26" ht="20" customHeight="1">
      <c r="B26" s="64" t="n">
        <v>12</v>
      </c>
      <c r="C26" s="64" t="inlineStr">
        <is>
          <t>H-30</t>
        </is>
      </c>
      <c r="D26" s="65" t="inlineStr">
        <is>
          <t>Technical Meeting seluruh vendor &amp; tim WO di venue</t>
        </is>
      </c>
      <c r="E26" s="73" t="n"/>
      <c r="F26" s="64" t="inlineStr">
        <is>
          <t>12 Sep 2026</t>
        </is>
      </c>
      <c r="G26" s="64" t="inlineStr">
        <is>
          <t>WO &amp; Tim Vendor</t>
        </is>
      </c>
      <c r="H26" s="42" t="inlineStr">
        <is>
          <t>Dalam Proses</t>
        </is>
      </c>
      <c r="I26" s="65" t="inlineStr">
        <is>
          <t>Rundown v2 diselaraskan</t>
        </is>
      </c>
      <c r="J26" s="73" t="n"/>
    </row>
    <row r="27" ht="20" customHeight="1">
      <c r="B27" s="15" t="n">
        <v>13</v>
      </c>
      <c r="C27" s="15" t="inlineStr">
        <is>
          <t>H-14</t>
        </is>
      </c>
      <c r="D27" s="16" t="inlineStr">
        <is>
          <t>Rekap final RSVP tamu undangan &amp; pelunasan seluruh vendor</t>
        </is>
      </c>
      <c r="E27" s="8" t="n"/>
      <c r="F27" s="15" t="inlineStr">
        <is>
          <t>28 Sep 2026</t>
        </is>
      </c>
      <c r="G27" s="15" t="inlineStr">
        <is>
          <t>Arif &amp; Rina</t>
        </is>
      </c>
      <c r="H27" s="66" t="inlineStr">
        <is>
          <t>Belum Mulai</t>
        </is>
      </c>
      <c r="I27" s="16" t="inlineStr">
        <is>
          <t>Katering disesuaikan RSVP</t>
        </is>
      </c>
      <c r="J27" s="8" t="n"/>
    </row>
    <row r="28" ht="20" customHeight="1">
      <c r="B28" s="19" t="n">
        <v>14</v>
      </c>
      <c r="C28" s="19" t="inlineStr">
        <is>
          <t>H-7</t>
        </is>
      </c>
      <c r="D28" s="20" t="inlineStr">
        <is>
          <t>Gladi resik akad nikah, serah terima berkas KUA, packing koper</t>
        </is>
      </c>
      <c r="E28" s="23" t="n"/>
      <c r="F28" s="19" t="inlineStr">
        <is>
          <t>05 Okt 2026</t>
        </is>
      </c>
      <c r="G28" s="19" t="inlineStr">
        <is>
          <t>Seluruh Panitia</t>
        </is>
      </c>
      <c r="H28" s="67" t="inlineStr">
        <is>
          <t>Belum Mulai</t>
        </is>
      </c>
      <c r="I28" s="20" t="inlineStr">
        <is>
          <t>Memastikan mental &amp; fisik prima</t>
        </is>
      </c>
      <c r="J28" s="23" t="n"/>
    </row>
    <row r="29" ht="20" customHeight="1">
      <c r="B29" s="15" t="n">
        <v>15</v>
      </c>
      <c r="C29" s="15" t="inlineStr">
        <is>
          <t>H-1</t>
        </is>
      </c>
      <c r="D29" s="16" t="inlineStr">
        <is>
          <t>Loading vendor dekorasi, check in hotel, briefing akhir WO</t>
        </is>
      </c>
      <c r="E29" s="8" t="n"/>
      <c r="F29" s="15" t="inlineStr">
        <is>
          <t>11 Okt 2026</t>
        </is>
      </c>
      <c r="G29" s="15" t="inlineStr">
        <is>
          <t>WO &amp; Keluarga</t>
        </is>
      </c>
      <c r="H29" s="66" t="inlineStr">
        <is>
          <t>Belum Mulai</t>
        </is>
      </c>
      <c r="I29" s="16" t="inlineStr">
        <is>
          <t>Istirahat cukup jam 21.00</t>
        </is>
      </c>
      <c r="J29" s="8" t="n"/>
    </row>
    <row r="30" ht="20" customHeight="1">
      <c r="B30" s="19" t="n">
        <v>16</v>
      </c>
      <c r="C30" s="19" t="inlineStr">
        <is>
          <t>Hari H</t>
        </is>
      </c>
      <c r="D30" s="20" t="inlineStr">
        <is>
          <t>Akad Nikah Khidmat (08.00) &amp; Resepsi Pernikahan (11.00)</t>
        </is>
      </c>
      <c r="E30" s="23" t="n"/>
      <c r="F30" s="19" t="inlineStr">
        <is>
          <t>12 Okt 2026</t>
        </is>
      </c>
      <c r="G30" s="19" t="inlineStr">
        <is>
          <t>Seluruh Pihak</t>
        </is>
      </c>
      <c r="H30" s="67" t="inlineStr">
        <is>
          <t>Belum Mulai</t>
        </is>
      </c>
      <c r="I30" s="20" t="inlineStr">
        <is>
          <t>Puncak hari bahagia</t>
        </is>
      </c>
      <c r="J30" s="23" t="n"/>
    </row>
  </sheetData>
  <mergeCells count="55">
    <mergeCell ref="I30:J30"/>
    <mergeCell ref="B11:D11"/>
    <mergeCell ref="E10:G10"/>
    <mergeCell ref="D20:E20"/>
    <mergeCell ref="I15:J15"/>
    <mergeCell ref="D19:E19"/>
    <mergeCell ref="I27:J27"/>
    <mergeCell ref="E9:G9"/>
    <mergeCell ref="D22:E22"/>
    <mergeCell ref="B13:J13"/>
    <mergeCell ref="H11:J11"/>
    <mergeCell ref="I26:J26"/>
    <mergeCell ref="H7:J7"/>
    <mergeCell ref="E6:G6"/>
    <mergeCell ref="D21:E21"/>
    <mergeCell ref="B10:D10"/>
    <mergeCell ref="E11:G11"/>
    <mergeCell ref="I16:J16"/>
    <mergeCell ref="I25:J25"/>
    <mergeCell ref="D27:E27"/>
    <mergeCell ref="B9:D9"/>
    <mergeCell ref="I22:J22"/>
    <mergeCell ref="I28:J28"/>
    <mergeCell ref="D17:E17"/>
    <mergeCell ref="E7:G7"/>
    <mergeCell ref="B6:D6"/>
    <mergeCell ref="I18:J18"/>
    <mergeCell ref="I21:J21"/>
    <mergeCell ref="D16:E16"/>
    <mergeCell ref="B5:D5"/>
    <mergeCell ref="I24:J24"/>
    <mergeCell ref="H5:J5"/>
    <mergeCell ref="D28:E28"/>
    <mergeCell ref="I23:J23"/>
    <mergeCell ref="I14:J14"/>
    <mergeCell ref="D18:E18"/>
    <mergeCell ref="B7:D7"/>
    <mergeCell ref="I17:J17"/>
    <mergeCell ref="D25:E25"/>
    <mergeCell ref="I29:J29"/>
    <mergeCell ref="B3:J3"/>
    <mergeCell ref="H10:J10"/>
    <mergeCell ref="I20:J20"/>
    <mergeCell ref="D24:E24"/>
    <mergeCell ref="D30:E30"/>
    <mergeCell ref="D15:E15"/>
    <mergeCell ref="E5:G5"/>
    <mergeCell ref="D29:E29"/>
    <mergeCell ref="I19:J19"/>
    <mergeCell ref="D23:E23"/>
    <mergeCell ref="D14:E14"/>
    <mergeCell ref="H9:J9"/>
    <mergeCell ref="D26:E26"/>
    <mergeCell ref="B2:J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B214F"/>
    <outlinePr summaryBelow="1" summaryRight="1"/>
    <pageSetUpPr/>
  </sheetPr>
  <dimension ref="B2:L27"/>
  <sheetViews>
    <sheetView showGridLines="1"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25" customWidth="1" min="3" max="3"/>
    <col width="16" customWidth="1" min="4" max="4"/>
    <col width="25" customWidth="1" min="5" max="5"/>
    <col width="22" customWidth="1" min="6" max="6"/>
    <col width="16" customWidth="1" min="7" max="7"/>
    <col width="16" customWidth="1" min="8" max="8"/>
    <col width="16" customWidth="1" min="9" max="9"/>
    <col width="16" customWidth="1" min="10" max="10"/>
    <col width="15" customWidth="1" min="11" max="11"/>
    <col width="40" customWidth="1" min="12" max="12"/>
  </cols>
  <sheetData>
    <row r="2" ht="36" customHeight="1">
      <c r="B2" s="1" t="inlineStr">
        <is>
          <t xml:space="preserve">  VENDOR DIRECTORY &amp; PAYMENT TRACKER  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0" customHeight="1">
      <c r="B3" s="3" t="inlineStr">
        <is>
          <t xml:space="preserve">  Daftar kontak vendor rekanan, nilai kontrak, termin DP, dan jadwal pelunasan.  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</row>
    <row r="5" ht="20" customHeight="1">
      <c r="B5" s="30" t="inlineStr">
        <is>
          <t>TOTAL KONTRAK VENDOR</t>
        </is>
      </c>
      <c r="C5" s="31" t="n"/>
      <c r="D5" s="30" t="inlineStr">
        <is>
          <t>TOTAL DP TERBAYAR</t>
        </is>
      </c>
      <c r="E5" s="31" t="n"/>
      <c r="F5" s="30" t="inlineStr">
        <is>
          <t>SISA TAGIHAN PELUNASAN</t>
        </is>
      </c>
      <c r="G5" s="31" t="n"/>
      <c r="H5" s="30" t="inlineStr">
        <is>
          <t>VENDOR SUDAH LUNAS</t>
        </is>
      </c>
      <c r="I5" s="31" t="n"/>
      <c r="J5" s="30" t="inlineStr">
        <is>
          <t>PROGRESS PELUNASAN</t>
        </is>
      </c>
      <c r="K5" s="44" t="n"/>
      <c r="L5" s="31" t="n"/>
    </row>
    <row r="6" ht="16" customHeight="1">
      <c r="B6" s="32">
        <f>SUM(G11:G26)</f>
        <v/>
      </c>
      <c r="C6" s="33" t="n"/>
      <c r="D6" s="32">
        <f>SUM(H11:H26)</f>
        <v/>
      </c>
      <c r="E6" s="33" t="n"/>
      <c r="F6" s="32">
        <f>SUM(I11:I26)</f>
        <v/>
      </c>
      <c r="G6" s="33" t="n"/>
      <c r="H6" s="35">
        <f>COUNTIF(K11:K26, "Lunas")</f>
        <v/>
      </c>
      <c r="I6" s="33" t="n"/>
      <c r="J6" s="34">
        <f>D6/B6</f>
        <v/>
      </c>
      <c r="K6" s="45" t="n"/>
      <c r="L6" s="33" t="n"/>
    </row>
    <row r="7" ht="16" customHeight="1">
      <c r="B7" s="36" t="n"/>
      <c r="C7" s="37" t="n"/>
      <c r="D7" s="36" t="n"/>
      <c r="E7" s="37" t="n"/>
      <c r="F7" s="36" t="n"/>
      <c r="G7" s="37" t="n"/>
      <c r="H7" s="36" t="n"/>
      <c r="I7" s="37" t="n"/>
      <c r="J7" s="36" t="n"/>
      <c r="K7" s="46" t="n"/>
      <c r="L7" s="37" t="n"/>
    </row>
    <row r="10" ht="26" customHeight="1">
      <c r="B10" s="38" t="inlineStr">
        <is>
          <t>NO</t>
        </is>
      </c>
      <c r="C10" s="39" t="inlineStr">
        <is>
          <t>NAMA VENDOR</t>
        </is>
      </c>
      <c r="D10" s="38" t="inlineStr">
        <is>
          <t>KATEGORI</t>
        </is>
      </c>
      <c r="E10" s="39" t="inlineStr">
        <is>
          <t>KONTAK / PIC</t>
        </is>
      </c>
      <c r="F10" s="39" t="inlineStr">
        <is>
          <t>INSTAGRAM</t>
        </is>
      </c>
      <c r="G10" s="47" t="inlineStr">
        <is>
          <t>NILAI KONTRAK</t>
        </is>
      </c>
      <c r="H10" s="47" t="inlineStr">
        <is>
          <t>DP DIBAYAR</t>
        </is>
      </c>
      <c r="I10" s="47" t="inlineStr">
        <is>
          <t>SISA PELUNASAN</t>
        </is>
      </c>
      <c r="J10" s="38" t="inlineStr">
        <is>
          <t>DEADLINE PELUNASAN</t>
        </is>
      </c>
      <c r="K10" s="38" t="inlineStr">
        <is>
          <t>STATUS BAYAR</t>
        </is>
      </c>
      <c r="L10" s="39" t="inlineStr">
        <is>
          <t>CATATAN / BENEFIT</t>
        </is>
      </c>
    </row>
    <row r="11" ht="20" customHeight="1">
      <c r="B11" s="15" t="n">
        <v>1</v>
      </c>
      <c r="C11" s="16" t="inlineStr">
        <is>
          <t>Grand Harmony Ballroom</t>
        </is>
      </c>
      <c r="D11" s="15" t="inlineStr">
        <is>
          <t>Venue</t>
        </is>
      </c>
      <c r="E11" s="16" t="inlineStr">
        <is>
          <t>Pak Gunawan (0812-3456-7890)</t>
        </is>
      </c>
      <c r="F11" s="16" t="inlineStr">
        <is>
          <t>@grandharmony_ballroom</t>
        </is>
      </c>
      <c r="G11" s="50" t="n">
        <v>17500000</v>
      </c>
      <c r="H11" s="50" t="n">
        <v>10000000</v>
      </c>
      <c r="I11" s="50">
        <f>G11-H11</f>
        <v/>
      </c>
      <c r="J11" s="15" t="inlineStr">
        <is>
          <t>28 Sep 2026</t>
        </is>
      </c>
      <c r="K11" s="66" t="inlineStr">
        <is>
          <t>Booked</t>
        </is>
      </c>
      <c r="L11" s="16" t="inlineStr">
        <is>
          <t>Include AC central, soundsystem gedung, 2 ruang rias VIP</t>
        </is>
      </c>
    </row>
    <row r="12" ht="20" customHeight="1">
      <c r="B12" s="19" t="n">
        <v>2</v>
      </c>
      <c r="C12" s="20" t="inlineStr">
        <is>
          <t>Sari Rasa Catering</t>
        </is>
      </c>
      <c r="D12" s="19" t="inlineStr">
        <is>
          <t>Catering</t>
        </is>
      </c>
      <c r="E12" s="20" t="inlineStr">
        <is>
          <t>Ibu Dewi (0813-8888-1234)</t>
        </is>
      </c>
      <c r="F12" s="20" t="inlineStr">
        <is>
          <t>@sarirasa_catering</t>
        </is>
      </c>
      <c r="G12" s="52" t="n">
        <v>44200000</v>
      </c>
      <c r="H12" s="52" t="n">
        <v>21500000</v>
      </c>
      <c r="I12" s="52">
        <f>G12-H12</f>
        <v/>
      </c>
      <c r="J12" s="19" t="inlineStr">
        <is>
          <t>28 Sep 2026</t>
        </is>
      </c>
      <c r="K12" s="67" t="inlineStr">
        <is>
          <t>Booked</t>
        </is>
      </c>
      <c r="L12" s="20" t="inlineStr">
        <is>
          <t>Paket buffet 500 pax + 3 food stall favorit + bonus 50 porsi</t>
        </is>
      </c>
    </row>
    <row r="13" ht="20" customHeight="1">
      <c r="B13" s="15" t="n">
        <v>3</v>
      </c>
      <c r="C13" s="16" t="inlineStr">
        <is>
          <t>Bloom &amp; Co. Atelier</t>
        </is>
      </c>
      <c r="D13" s="15" t="inlineStr">
        <is>
          <t>Dekorasi</t>
        </is>
      </c>
      <c r="E13" s="16" t="inlineStr">
        <is>
          <t>Mba Clara (0811-9988-7766)</t>
        </is>
      </c>
      <c r="F13" s="16" t="inlineStr">
        <is>
          <t>@bloomandco_wedding</t>
        </is>
      </c>
      <c r="G13" s="50" t="n">
        <v>13300000</v>
      </c>
      <c r="H13" s="50" t="n">
        <v>7500000</v>
      </c>
      <c r="I13" s="50">
        <f>G13-H13</f>
        <v/>
      </c>
      <c r="J13" s="15" t="inlineStr">
        <is>
          <t>28 Sep 2026</t>
        </is>
      </c>
      <c r="K13" s="66" t="inlineStr">
        <is>
          <t>Booked</t>
        </is>
      </c>
      <c r="L13" s="16" t="inlineStr">
        <is>
          <t>Pelaminan 8 meter fresh flowers, photobooth, karpet rose petal</t>
        </is>
      </c>
    </row>
    <row r="14" ht="20" customHeight="1">
      <c r="B14" s="19" t="n">
        <v>4</v>
      </c>
      <c r="C14" s="20" t="inlineStr">
        <is>
          <t>Nadia Beauty MUA</t>
        </is>
      </c>
      <c r="D14" s="19" t="inlineStr">
        <is>
          <t>MUA</t>
        </is>
      </c>
      <c r="E14" s="20" t="inlineStr">
        <is>
          <t>Nadia Safira (0856-7788-9900)</t>
        </is>
      </c>
      <c r="F14" s="20" t="inlineStr">
        <is>
          <t>@nadiabeauty_mua</t>
        </is>
      </c>
      <c r="G14" s="52" t="n">
        <v>5600000</v>
      </c>
      <c r="H14" s="52" t="n">
        <v>3000000</v>
      </c>
      <c r="I14" s="52">
        <f>G14-H14</f>
        <v/>
      </c>
      <c r="J14" s="19" t="inlineStr">
        <is>
          <t>01 Okt 2026</t>
        </is>
      </c>
      <c r="K14" s="67" t="inlineStr">
        <is>
          <t>Booked</t>
        </is>
      </c>
      <c r="L14" s="20" t="inlineStr">
        <is>
          <t>Rias pengantin akad &amp; resepsi + retouch + rias ibu &amp; pagar ayu</t>
        </is>
      </c>
    </row>
    <row r="15" ht="20" customHeight="1">
      <c r="B15" s="15" t="n">
        <v>5</v>
      </c>
      <c r="C15" s="16" t="inlineStr">
        <is>
          <t>Sanggar Rias Ayu</t>
        </is>
      </c>
      <c r="D15" s="15" t="inlineStr">
        <is>
          <t>Busana</t>
        </is>
      </c>
      <c r="E15" s="16" t="inlineStr">
        <is>
          <t>Ibu Ayu (0815-4433-2211)</t>
        </is>
      </c>
      <c r="F15" s="16" t="inlineStr">
        <is>
          <t>@sanggarayu_kebaya</t>
        </is>
      </c>
      <c r="G15" s="50" t="n">
        <v>5600000</v>
      </c>
      <c r="H15" s="50" t="n">
        <v>3200000</v>
      </c>
      <c r="I15" s="50">
        <f>G15-H15</f>
        <v/>
      </c>
      <c r="J15" s="15" t="inlineStr">
        <is>
          <t>01 Okt 2026</t>
        </is>
      </c>
      <c r="K15" s="66" t="inlineStr">
        <is>
          <t>Booked</t>
        </is>
      </c>
      <c r="L15" s="16" t="inlineStr">
        <is>
          <t>2 pasang baju pengantin + beskap bapak &amp; kebaya ibu 4 stel</t>
        </is>
      </c>
    </row>
    <row r="16" ht="20" customHeight="1">
      <c r="B16" s="19" t="n">
        <v>6</v>
      </c>
      <c r="C16" s="20" t="inlineStr">
        <is>
          <t>Lensa Kita Photography</t>
        </is>
      </c>
      <c r="D16" s="19" t="inlineStr">
        <is>
          <t>Dokumentasi</t>
        </is>
      </c>
      <c r="E16" s="20" t="inlineStr">
        <is>
          <t>Mas Fajar (0817-6655-4433)</t>
        </is>
      </c>
      <c r="F16" s="20" t="inlineStr">
        <is>
          <t>@lensakita_photo</t>
        </is>
      </c>
      <c r="G16" s="52" t="n">
        <v>8500000</v>
      </c>
      <c r="H16" s="52" t="n">
        <v>6000000</v>
      </c>
      <c r="I16" s="52">
        <f>G16-H16</f>
        <v/>
      </c>
      <c r="J16" s="19" t="inlineStr">
        <is>
          <t>01 Okt 2026</t>
        </is>
      </c>
      <c r="K16" s="67" t="inlineStr">
        <is>
          <t>Booked</t>
        </is>
      </c>
      <c r="L16" s="20" t="inlineStr">
        <is>
          <t>2 Foto, 1 Video cinematic, teaser 1 min, album kolase 20x30</t>
        </is>
      </c>
    </row>
    <row r="17" ht="20" customHeight="1">
      <c r="B17" s="15" t="n">
        <v>7</v>
      </c>
      <c r="C17" s="16" t="inlineStr">
        <is>
          <t>Cerita Kita Undangan</t>
        </is>
      </c>
      <c r="D17" s="15" t="inlineStr">
        <is>
          <t>Undangan</t>
        </is>
      </c>
      <c r="E17" s="16" t="inlineStr">
        <is>
          <t>Admin (0821-3344-5566)</t>
        </is>
      </c>
      <c r="F17" s="16" t="inlineStr">
        <is>
          <t>@ceritakita_invitation</t>
        </is>
      </c>
      <c r="G17" s="50" t="n">
        <v>1600000</v>
      </c>
      <c r="H17" s="50" t="n">
        <v>1000000</v>
      </c>
      <c r="I17" s="50">
        <f>G17-H17</f>
        <v/>
      </c>
      <c r="J17" s="15" t="inlineStr">
        <is>
          <t>25 Sep 2026</t>
        </is>
      </c>
      <c r="K17" s="66" t="inlineStr">
        <is>
          <t>Booked</t>
        </is>
      </c>
      <c r="L17" s="16" t="inlineStr">
        <is>
          <t>Cetak undangan fisik 100 pcs foil emas + kartu ucapan terima kasih</t>
        </is>
      </c>
    </row>
    <row r="18" ht="20" customHeight="1">
      <c r="B18" s="62" t="n">
        <v>8</v>
      </c>
      <c r="C18" s="63" t="inlineStr">
        <is>
          <t>KiteInvites Studio</t>
        </is>
      </c>
      <c r="D18" s="62" t="inlineStr">
        <is>
          <t>Undangan Digital</t>
        </is>
      </c>
      <c r="E18" s="63" t="inlineStr">
        <is>
          <t>Mas Bayu (0852-1122-3344)</t>
        </is>
      </c>
      <c r="F18" s="63" t="inlineStr">
        <is>
          <t>@kiteinvites</t>
        </is>
      </c>
      <c r="G18" s="74" t="n">
        <v>400000</v>
      </c>
      <c r="H18" s="74" t="n">
        <v>400000</v>
      </c>
      <c r="I18" s="74">
        <f>G18-H18</f>
        <v/>
      </c>
      <c r="J18" s="62" t="inlineStr">
        <is>
          <t>15 Mei 2026</t>
        </is>
      </c>
      <c r="K18" s="61" t="inlineStr">
        <is>
          <t>Lunas</t>
        </is>
      </c>
      <c r="L18" s="63" t="inlineStr">
        <is>
          <t>Website rinaarif.com + musik latar + RSVP WhatsApp otomatis</t>
        </is>
      </c>
    </row>
    <row r="19" ht="20" customHeight="1">
      <c r="B19" s="15" t="n">
        <v>9</v>
      </c>
      <c r="C19" s="16" t="inlineStr">
        <is>
          <t>Manis Kenangan Souvenir</t>
        </is>
      </c>
      <c r="D19" s="15" t="inlineStr">
        <is>
          <t>Souvenir</t>
        </is>
      </c>
      <c r="E19" s="16" t="inlineStr">
        <is>
          <t>Ibu Maya (0878-9900-1122)</t>
        </is>
      </c>
      <c r="F19" s="16" t="inlineStr">
        <is>
          <t>@maniskenangan_souvenir</t>
        </is>
      </c>
      <c r="G19" s="50" t="n">
        <v>3200000</v>
      </c>
      <c r="H19" s="50" t="n">
        <v>2000000</v>
      </c>
      <c r="I19" s="50">
        <f>G19-H19</f>
        <v/>
      </c>
      <c r="J19" s="15" t="inlineStr">
        <is>
          <t>25 Sep 2026</t>
        </is>
      </c>
      <c r="K19" s="66" t="inlineStr">
        <is>
          <t>Booked</t>
        </is>
      </c>
      <c r="L19" s="16" t="inlineStr">
        <is>
          <t>300 cutlery set pouch belacu estetik + sablon inisial</t>
        </is>
      </c>
    </row>
    <row r="20" ht="20" customHeight="1">
      <c r="B20" s="19" t="n">
        <v>10</v>
      </c>
      <c r="C20" s="20" t="inlineStr">
        <is>
          <t>Nada Harmoni Acoustic</t>
        </is>
      </c>
      <c r="D20" s="19" t="inlineStr">
        <is>
          <t>Entertainment</t>
        </is>
      </c>
      <c r="E20" s="20" t="inlineStr">
        <is>
          <t>Mas Rangga (0819-2233-4455)</t>
        </is>
      </c>
      <c r="F20" s="20" t="inlineStr">
        <is>
          <t>@nadaharmoni_band</t>
        </is>
      </c>
      <c r="G20" s="52" t="n">
        <v>2200000</v>
      </c>
      <c r="H20" s="52" t="n">
        <v>1000000</v>
      </c>
      <c r="I20" s="52">
        <f>G20-H20</f>
        <v/>
      </c>
      <c r="J20" s="19" t="inlineStr">
        <is>
          <t>05 Okt 2026</t>
        </is>
      </c>
      <c r="K20" s="67" t="inlineStr">
        <is>
          <t>Booked</t>
        </is>
      </c>
      <c r="L20" s="20" t="inlineStr">
        <is>
          <t>Akustik 4 personil + singer profesional</t>
        </is>
      </c>
    </row>
    <row r="21" ht="20" customHeight="1">
      <c r="B21" s="15" t="n">
        <v>11</v>
      </c>
      <c r="C21" s="16" t="inlineStr">
        <is>
          <t>Mas Dimas MC</t>
        </is>
      </c>
      <c r="D21" s="15" t="inlineStr">
        <is>
          <t>MC</t>
        </is>
      </c>
      <c r="E21" s="16" t="inlineStr">
        <is>
          <t>Dimas Setiawan (0812-7766-5544)</t>
        </is>
      </c>
      <c r="F21" s="16" t="inlineStr">
        <is>
          <t>@masdimas_mc</t>
        </is>
      </c>
      <c r="G21" s="50" t="n">
        <v>1800000</v>
      </c>
      <c r="H21" s="50" t="n">
        <v>1000000</v>
      </c>
      <c r="I21" s="50">
        <f>G21-H21</f>
        <v/>
      </c>
      <c r="J21" s="15" t="inlineStr">
        <is>
          <t>05 Okt 2026</t>
        </is>
      </c>
      <c r="K21" s="66" t="inlineStr">
        <is>
          <t>Booked</t>
        </is>
      </c>
      <c r="L21" s="16" t="inlineStr">
        <is>
          <t>MC akad &amp; resepsi komunikatif &amp; berpengalaman</t>
        </is>
      </c>
    </row>
    <row r="22" ht="20" customHeight="1">
      <c r="B22" s="19" t="n">
        <v>12</v>
      </c>
      <c r="C22" s="20" t="inlineStr">
        <is>
          <t>Thunder Audio Gedung</t>
        </is>
      </c>
      <c r="D22" s="19" t="inlineStr">
        <is>
          <t>Sound System</t>
        </is>
      </c>
      <c r="E22" s="20" t="inlineStr">
        <is>
          <t>Pak Slamet (0813-2211-0099)</t>
        </is>
      </c>
      <c r="F22" s="20" t="inlineStr">
        <is>
          <t>@thunder_audiosystem</t>
        </is>
      </c>
      <c r="G22" s="52" t="n">
        <v>2000000</v>
      </c>
      <c r="H22" s="52" t="n">
        <v>1000000</v>
      </c>
      <c r="I22" s="52">
        <f>G22-H22</f>
        <v/>
      </c>
      <c r="J22" s="19" t="inlineStr">
        <is>
          <t>28 Sep 2026</t>
        </is>
      </c>
      <c r="K22" s="67" t="inlineStr">
        <is>
          <t>Booked</t>
        </is>
      </c>
      <c r="L22" s="20" t="inlineStr">
        <is>
          <t>Sound 5000 watt + 4 wireless mic + operator standby</t>
        </is>
      </c>
    </row>
    <row r="23" ht="20" customHeight="1">
      <c r="B23" s="15" t="n">
        <v>13</v>
      </c>
      <c r="C23" s="16" t="inlineStr">
        <is>
          <t>Amanah Wedding Organizer</t>
        </is>
      </c>
      <c r="D23" s="15" t="inlineStr">
        <is>
          <t>Wedding Organizer</t>
        </is>
      </c>
      <c r="E23" s="16" t="inlineStr">
        <is>
          <t>Mba Ratih (0857-4455-6677)</t>
        </is>
      </c>
      <c r="F23" s="16" t="inlineStr">
        <is>
          <t>@amanah_wo</t>
        </is>
      </c>
      <c r="G23" s="50" t="n">
        <v>4000000</v>
      </c>
      <c r="H23" s="50" t="n">
        <v>2000000</v>
      </c>
      <c r="I23" s="50">
        <f>G23-H23</f>
        <v/>
      </c>
      <c r="J23" s="15" t="inlineStr">
        <is>
          <t>05 Okt 2026</t>
        </is>
      </c>
      <c r="K23" s="66" t="inlineStr">
        <is>
          <t>Booked</t>
        </is>
      </c>
      <c r="L23" s="16" t="inlineStr">
        <is>
          <t>6 Crew onsite mengatur alur acara, konsumsi, dan VIP guest</t>
        </is>
      </c>
    </row>
    <row r="24" ht="20" customHeight="1">
      <c r="B24" s="19" t="n">
        <v>14</v>
      </c>
      <c r="C24" s="20" t="inlineStr">
        <is>
          <t>Kotak Cinta Seserahan</t>
        </is>
      </c>
      <c r="D24" s="19" t="inlineStr">
        <is>
          <t>Jasa Hias</t>
        </is>
      </c>
      <c r="E24" s="20" t="inlineStr">
        <is>
          <t>Mba Wulan (0818-0011-2233)</t>
        </is>
      </c>
      <c r="F24" s="20" t="inlineStr">
        <is>
          <t>@kotakcinta_hantaran</t>
        </is>
      </c>
      <c r="G24" s="52" t="n">
        <v>1000000</v>
      </c>
      <c r="H24" s="52" t="n">
        <v>500000</v>
      </c>
      <c r="I24" s="52">
        <f>G24-H24</f>
        <v/>
      </c>
      <c r="J24" s="19" t="inlineStr">
        <is>
          <t>20 Sep 2026</t>
        </is>
      </c>
      <c r="K24" s="67" t="inlineStr">
        <is>
          <t>Booked</t>
        </is>
      </c>
      <c r="L24" s="20" t="inlineStr">
        <is>
          <t>Sewa 8 box akrilik mewah + bunga artificial premium</t>
        </is>
      </c>
    </row>
    <row r="25" ht="20" customHeight="1">
      <c r="B25" s="62" t="n">
        <v>15</v>
      </c>
      <c r="C25" s="63" t="inlineStr">
        <is>
          <t>Spilla Jewelry</t>
        </is>
      </c>
      <c r="D25" s="62" t="inlineStr">
        <is>
          <t>Cincin Kawin</t>
        </is>
      </c>
      <c r="E25" s="63" t="inlineStr">
        <is>
          <t>Customer Care (0822-8877-6655)</t>
        </is>
      </c>
      <c r="F25" s="63" t="inlineStr">
        <is>
          <t>@spillajewelry</t>
        </is>
      </c>
      <c r="G25" s="74" t="n">
        <v>4200000</v>
      </c>
      <c r="H25" s="74" t="n">
        <v>4200000</v>
      </c>
      <c r="I25" s="74">
        <f>G25-H25</f>
        <v/>
      </c>
      <c r="J25" s="62" t="inlineStr">
        <is>
          <t>30 Jul 2026</t>
        </is>
      </c>
      <c r="K25" s="61" t="inlineStr">
        <is>
          <t>Lunas</t>
        </is>
      </c>
      <c r="L25" s="63" t="inlineStr">
        <is>
          <t>2 Cincin rose gold 18K + grafir laser nama</t>
        </is>
      </c>
    </row>
    <row r="26" ht="20" customHeight="1">
      <c r="B26" s="19" t="n">
        <v>16</v>
      </c>
      <c r="C26" s="20" t="inlineStr">
        <is>
          <t>Royal Executive Rent</t>
        </is>
      </c>
      <c r="D26" s="19" t="inlineStr">
        <is>
          <t>Transport</t>
        </is>
      </c>
      <c r="E26" s="20" t="inlineStr">
        <is>
          <t>Pak Harto (0811-3322-1100)</t>
        </is>
      </c>
      <c r="F26" s="20" t="inlineStr">
        <is>
          <t>@royalrent_jakarta</t>
        </is>
      </c>
      <c r="G26" s="52" t="n">
        <v>1600000</v>
      </c>
      <c r="H26" s="52" t="n">
        <v>1000000</v>
      </c>
      <c r="I26" s="52">
        <f>G26-H26</f>
        <v/>
      </c>
      <c r="J26" s="19" t="inlineStr">
        <is>
          <t>05 Okt 2026</t>
        </is>
      </c>
      <c r="K26" s="67" t="inlineStr">
        <is>
          <t>Booked</t>
        </is>
      </c>
      <c r="L26" s="20" t="inlineStr">
        <is>
          <t>Sewa Alphard putih 12 jam include bensin, driver &amp; dekorasi bunga</t>
        </is>
      </c>
    </row>
    <row r="27" ht="24" customHeight="1">
      <c r="B27" s="53" t="inlineStr">
        <is>
          <t>TOTAL KONTRAK &amp; PEMBAYARAN VENDOR</t>
        </is>
      </c>
      <c r="C27" s="54" t="n"/>
      <c r="D27" s="54" t="n"/>
      <c r="E27" s="54" t="n"/>
      <c r="F27" s="54" t="n"/>
      <c r="G27" s="55">
        <f>SUM(G11:G26)</f>
        <v/>
      </c>
      <c r="H27" s="55">
        <f>SUM(H11:H26)</f>
        <v/>
      </c>
      <c r="I27" s="55">
        <f>SUM(I11:I26)</f>
        <v/>
      </c>
      <c r="J27" s="54" t="n"/>
      <c r="K27" s="54" t="n"/>
      <c r="L27" s="54" t="n"/>
    </row>
  </sheetData>
  <mergeCells count="13">
    <mergeCell ref="J5:L5"/>
    <mergeCell ref="J6:L7"/>
    <mergeCell ref="H6:I7"/>
    <mergeCell ref="B5:C5"/>
    <mergeCell ref="F5:G5"/>
    <mergeCell ref="D5:E5"/>
    <mergeCell ref="B3:L3"/>
    <mergeCell ref="B2:L2"/>
    <mergeCell ref="D6:E7"/>
    <mergeCell ref="B6:C7"/>
    <mergeCell ref="H5:I5"/>
    <mergeCell ref="F6:G7"/>
    <mergeCell ref="B27:F27"/>
  </mergeCells>
  <dataValidations count="1">
    <dataValidation sqref="K11:K26" showDropDown="0" showInputMessage="0" showErrorMessage="0" allowBlank="1" type="list">
      <formula1>"Survey,Proses,Booked,Lunas"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96A91"/>
    <outlinePr summaryBelow="1" summaryRight="1"/>
    <pageSetUpPr/>
  </sheetPr>
  <dimension ref="B2:J65"/>
  <sheetViews>
    <sheetView showGridLines="1"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15" customWidth="1" min="4" max="4"/>
    <col width="18" customWidth="1" min="5" max="5"/>
    <col width="16" customWidth="1" min="6" max="6"/>
    <col width="15" customWidth="1" min="7" max="7"/>
    <col width="18" customWidth="1" min="8" max="8"/>
    <col width="16" customWidth="1" min="9" max="9"/>
    <col width="30" customWidth="1" min="10" max="10"/>
  </cols>
  <sheetData>
    <row r="2" ht="36" customHeight="1">
      <c r="B2" s="1" t="inlineStr">
        <is>
          <t xml:space="preserve">  DAFTAR TAMU  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 ht="20" customHeight="1">
      <c r="B3" s="3" t="inlineStr">
        <is>
          <t xml:space="preserve">  Kelola daftar undangan, klasifikasi hubungan keluarga/rekan, alokasi kursi, dan RSVP.  </t>
        </is>
      </c>
      <c r="C3" s="4" t="n"/>
      <c r="D3" s="4" t="n"/>
      <c r="E3" s="4" t="n"/>
      <c r="F3" s="4" t="n"/>
      <c r="G3" s="4" t="n"/>
      <c r="H3" s="4" t="n"/>
      <c r="I3" s="4" t="n"/>
      <c r="J3" s="4" t="n"/>
    </row>
    <row r="5" ht="20" customHeight="1">
      <c r="B5" s="30" t="inlineStr">
        <is>
          <t>TOTAL UNDANGAN</t>
        </is>
      </c>
      <c r="C5" s="31" t="n"/>
      <c r="D5" s="58" t="inlineStr">
        <is>
          <t>TOTAL KURSI</t>
        </is>
      </c>
      <c r="E5" s="58" t="inlineStr">
        <is>
          <t>SUDAH RSVP</t>
        </is>
      </c>
      <c r="F5" s="58" t="inlineStr">
        <is>
          <t>KONFIRMASI HADIR</t>
        </is>
      </c>
      <c r="G5" s="58" t="inlineStr">
        <is>
          <t>BELUM RSVP</t>
        </is>
      </c>
      <c r="H5" s="58" t="inlineStr">
        <is>
          <t>TIDAK HADIR</t>
        </is>
      </c>
      <c r="I5" s="30" t="inlineStr">
        <is>
          <t>ESTIMASI KURSI HADIR</t>
        </is>
      </c>
      <c r="J5" s="31" t="n"/>
    </row>
    <row r="6" ht="16" customHeight="1">
      <c r="B6" s="35">
        <f>COUNTA(C11:C65)</f>
        <v/>
      </c>
      <c r="C6" s="33" t="n"/>
      <c r="D6" s="59">
        <f>SUM(G11:G65)</f>
        <v/>
      </c>
      <c r="E6" s="59">
        <f>COUNTIF(I11:I65, "Hadir") + COUNTIF(I11:I65, "Tidak Hadir")</f>
        <v/>
      </c>
      <c r="F6" s="59">
        <f>COUNTIF(I11:I65, "Hadir")</f>
        <v/>
      </c>
      <c r="G6" s="59">
        <f>COUNTIF(I11:I65, "Belum")</f>
        <v/>
      </c>
      <c r="H6" s="59">
        <f>COUNTIF(I11:I65, "Tidak Hadir")</f>
        <v/>
      </c>
      <c r="I6" s="35">
        <f>SUMIF(I11:I65, "Hadir", G11:G65)</f>
        <v/>
      </c>
      <c r="J6" s="33" t="n"/>
    </row>
    <row r="7" ht="16" customHeight="1">
      <c r="B7" s="36" t="n"/>
      <c r="C7" s="37" t="n"/>
      <c r="D7" s="60" t="n"/>
      <c r="E7" s="60" t="n"/>
      <c r="F7" s="60" t="n"/>
      <c r="G7" s="60" t="n"/>
      <c r="H7" s="60" t="n"/>
      <c r="I7" s="36" t="n"/>
      <c r="J7" s="37" t="n"/>
    </row>
    <row r="10" ht="26" customHeight="1">
      <c r="B10" s="38" t="inlineStr">
        <is>
          <t>NO</t>
        </is>
      </c>
      <c r="C10" s="39" t="inlineStr">
        <is>
          <t>NAMA TAMU</t>
        </is>
      </c>
      <c r="D10" s="38" t="inlineStr">
        <is>
          <t>TAMU DARI</t>
        </is>
      </c>
      <c r="E10" s="38" t="inlineStr">
        <is>
          <t>HUBUNGAN</t>
        </is>
      </c>
      <c r="F10" s="38" t="inlineStr">
        <is>
          <t>JENIS UNDANGAN</t>
        </is>
      </c>
      <c r="G10" s="38" t="inlineStr">
        <is>
          <t>JUMLAH KURSI</t>
        </is>
      </c>
      <c r="H10" s="38" t="inlineStr">
        <is>
          <t>STATUS UNDANGAN</t>
        </is>
      </c>
      <c r="I10" s="38" t="inlineStr">
        <is>
          <t>RSVP</t>
        </is>
      </c>
      <c r="J10" s="39" t="inlineStr">
        <is>
          <t>CATATAN / MEJA</t>
        </is>
      </c>
    </row>
    <row r="11" ht="20" customHeight="1">
      <c r="B11" s="75" t="n">
        <v>1</v>
      </c>
      <c r="C11" s="76" t="inlineStr">
        <is>
          <t>Sasa &amp; Suami</t>
        </is>
      </c>
      <c r="D11" s="77" t="inlineStr">
        <is>
          <t>CPW</t>
        </is>
      </c>
      <c r="E11" s="78" t="inlineStr">
        <is>
          <t>Teman Kerja</t>
        </is>
      </c>
      <c r="F11" s="79" t="inlineStr">
        <is>
          <t>Cetak</t>
        </is>
      </c>
      <c r="G11" s="66" t="n">
        <v>2</v>
      </c>
      <c r="H11" s="62" t="inlineStr">
        <is>
          <t>Terkirim</t>
        </is>
      </c>
      <c r="I11" s="80" t="inlineStr">
        <is>
          <t>Hadir</t>
        </is>
      </c>
      <c r="J11" s="16" t="inlineStr">
        <is>
          <t>Rekan divisi HRD</t>
        </is>
      </c>
    </row>
    <row r="12" ht="20" customHeight="1">
      <c r="B12" s="75" t="n">
        <v>2</v>
      </c>
      <c r="C12" s="76" t="inlineStr">
        <is>
          <t>Rina</t>
        </is>
      </c>
      <c r="D12" s="81" t="inlineStr">
        <is>
          <t>CPP</t>
        </is>
      </c>
      <c r="E12" s="82" t="inlineStr">
        <is>
          <t>Teman Sekolah</t>
        </is>
      </c>
      <c r="F12" s="83" t="inlineStr">
        <is>
          <t>Digital</t>
        </is>
      </c>
      <c r="G12" s="66" t="n">
        <v>3</v>
      </c>
      <c r="H12" s="19" t="inlineStr">
        <is>
          <t>Belum</t>
        </is>
      </c>
      <c r="I12" s="84" t="inlineStr">
        <is>
          <t>Belum</t>
        </is>
      </c>
      <c r="J12" s="16" t="inlineStr">
        <is>
          <t>Sahabat SMA Arif</t>
        </is>
      </c>
    </row>
    <row r="13" ht="20" customHeight="1">
      <c r="B13" s="75" t="n">
        <v>3</v>
      </c>
      <c r="C13" s="76" t="inlineStr">
        <is>
          <t>Budi</t>
        </is>
      </c>
      <c r="D13" s="81" t="inlineStr">
        <is>
          <t>CPP</t>
        </is>
      </c>
      <c r="E13" s="78" t="inlineStr">
        <is>
          <t>Teman Kerja</t>
        </is>
      </c>
      <c r="F13" s="79" t="inlineStr">
        <is>
          <t>Cetak</t>
        </is>
      </c>
      <c r="G13" s="66" t="n">
        <v>1</v>
      </c>
      <c r="H13" s="62" t="inlineStr">
        <is>
          <t>Terkirim</t>
        </is>
      </c>
      <c r="I13" s="80" t="inlineStr">
        <is>
          <t>Hadir</t>
        </is>
      </c>
      <c r="J13" s="16" t="inlineStr">
        <is>
          <t>Senior Programmer</t>
        </is>
      </c>
    </row>
    <row r="14" ht="20" customHeight="1">
      <c r="B14" s="75" t="n">
        <v>4</v>
      </c>
      <c r="C14" s="76" t="inlineStr">
        <is>
          <t>Andi dan keluarga</t>
        </is>
      </c>
      <c r="D14" s="81" t="inlineStr">
        <is>
          <t>CPP</t>
        </is>
      </c>
      <c r="E14" s="85" t="inlineStr">
        <is>
          <t>Keluarga</t>
        </is>
      </c>
      <c r="F14" s="83" t="inlineStr">
        <is>
          <t>Digital</t>
        </is>
      </c>
      <c r="G14" s="66" t="n">
        <v>3</v>
      </c>
      <c r="H14" s="62" t="inlineStr">
        <is>
          <t>Terkirim</t>
        </is>
      </c>
      <c r="I14" s="80" t="inlineStr">
        <is>
          <t>Hadir</t>
        </is>
      </c>
      <c r="J14" s="16" t="inlineStr">
        <is>
          <t>Sepupu dari Ibu CPP</t>
        </is>
      </c>
    </row>
    <row r="15" ht="20" customHeight="1">
      <c r="B15" s="75" t="n">
        <v>5</v>
      </c>
      <c r="C15" s="76" t="inlineStr">
        <is>
          <t>Sarah</t>
        </is>
      </c>
      <c r="D15" s="81" t="inlineStr">
        <is>
          <t>CPP</t>
        </is>
      </c>
      <c r="E15" s="82" t="inlineStr">
        <is>
          <t>Teman Sekolah</t>
        </is>
      </c>
      <c r="F15" s="79" t="inlineStr">
        <is>
          <t>Cetak</t>
        </is>
      </c>
      <c r="G15" s="66" t="n">
        <v>2</v>
      </c>
      <c r="H15" s="62" t="inlineStr">
        <is>
          <t>Terkirim</t>
        </is>
      </c>
      <c r="I15" s="80" t="inlineStr">
        <is>
          <t>Hadir</t>
        </is>
      </c>
      <c r="J15" s="16" t="inlineStr">
        <is>
          <t>Alumni SMP</t>
        </is>
      </c>
    </row>
    <row r="16" ht="20" customHeight="1">
      <c r="B16" s="75" t="n">
        <v>6</v>
      </c>
      <c r="C16" s="76" t="inlineStr">
        <is>
          <t>Dika</t>
        </is>
      </c>
      <c r="D16" s="81" t="inlineStr">
        <is>
          <t>CPP</t>
        </is>
      </c>
      <c r="E16" s="82" t="inlineStr">
        <is>
          <t>Teman Sekolah</t>
        </is>
      </c>
      <c r="F16" s="83" t="inlineStr">
        <is>
          <t>Digital</t>
        </is>
      </c>
      <c r="G16" s="66" t="n">
        <v>1</v>
      </c>
      <c r="H16" s="19" t="inlineStr">
        <is>
          <t>Belum</t>
        </is>
      </c>
      <c r="I16" s="84" t="inlineStr">
        <is>
          <t>Belum</t>
        </is>
      </c>
      <c r="J16" s="16" t="inlineStr">
        <is>
          <t>Sahabat futsal</t>
        </is>
      </c>
    </row>
    <row r="17" ht="20" customHeight="1">
      <c r="B17" s="75" t="n">
        <v>7</v>
      </c>
      <c r="C17" s="76" t="inlineStr">
        <is>
          <t>Fajar</t>
        </is>
      </c>
      <c r="D17" s="81" t="inlineStr">
        <is>
          <t>CPP</t>
        </is>
      </c>
      <c r="E17" s="82" t="inlineStr">
        <is>
          <t>Teman Sekolah</t>
        </is>
      </c>
      <c r="F17" s="83" t="inlineStr">
        <is>
          <t>Digital</t>
        </is>
      </c>
      <c r="G17" s="66" t="n">
        <v>1</v>
      </c>
      <c r="H17" s="19" t="inlineStr">
        <is>
          <t>Belum</t>
        </is>
      </c>
      <c r="I17" s="84" t="inlineStr">
        <is>
          <t>Belum</t>
        </is>
      </c>
      <c r="J17" s="16" t="inlineStr">
        <is>
          <t>Teman satu band</t>
        </is>
      </c>
    </row>
    <row r="18" ht="20" customHeight="1">
      <c r="B18" s="75" t="n">
        <v>8</v>
      </c>
      <c r="C18" s="76" t="inlineStr">
        <is>
          <t>Tante Ani</t>
        </is>
      </c>
      <c r="D18" s="77" t="inlineStr">
        <is>
          <t>CPW</t>
        </is>
      </c>
      <c r="E18" s="85" t="inlineStr">
        <is>
          <t>Keluarga</t>
        </is>
      </c>
      <c r="F18" s="83" t="inlineStr">
        <is>
          <t>Digital</t>
        </is>
      </c>
      <c r="G18" s="66" t="n">
        <v>2</v>
      </c>
      <c r="H18" s="62" t="inlineStr">
        <is>
          <t>Terkirim</t>
        </is>
      </c>
      <c r="I18" s="80" t="inlineStr">
        <is>
          <t>Hadir</t>
        </is>
      </c>
      <c r="J18" s="16" t="inlineStr">
        <is>
          <t>Tante kandung CPW</t>
        </is>
      </c>
    </row>
    <row r="19" ht="20" customHeight="1">
      <c r="B19" s="75" t="n">
        <v>9</v>
      </c>
      <c r="C19" s="76" t="inlineStr">
        <is>
          <t>Bu Sari</t>
        </is>
      </c>
      <c r="D19" s="77" t="inlineStr">
        <is>
          <t>CPW</t>
        </is>
      </c>
      <c r="E19" s="78" t="inlineStr">
        <is>
          <t>Teman Kerja</t>
        </is>
      </c>
      <c r="F19" s="79" t="inlineStr">
        <is>
          <t>Cetak</t>
        </is>
      </c>
      <c r="G19" s="66" t="n">
        <v>1</v>
      </c>
      <c r="H19" s="19" t="inlineStr">
        <is>
          <t>Belum</t>
        </is>
      </c>
      <c r="I19" s="84" t="inlineStr">
        <is>
          <t>Belum</t>
        </is>
      </c>
      <c r="J19" s="16" t="inlineStr">
        <is>
          <t>Manager Keuangan</t>
        </is>
      </c>
    </row>
    <row r="20" ht="20" customHeight="1">
      <c r="B20" s="75" t="n">
        <v>10</v>
      </c>
      <c r="C20" s="76" t="inlineStr">
        <is>
          <t>Pak Hendra</t>
        </is>
      </c>
      <c r="D20" s="77" t="inlineStr">
        <is>
          <t>CPW</t>
        </is>
      </c>
      <c r="E20" s="78" t="inlineStr">
        <is>
          <t>Teman Kerja</t>
        </is>
      </c>
      <c r="F20" s="83" t="inlineStr">
        <is>
          <t>Digital</t>
        </is>
      </c>
      <c r="G20" s="66" t="n">
        <v>2</v>
      </c>
      <c r="H20" s="19" t="inlineStr">
        <is>
          <t>Belum</t>
        </is>
      </c>
      <c r="I20" s="84" t="inlineStr">
        <is>
          <t>Belum</t>
        </is>
      </c>
      <c r="J20" s="16" t="inlineStr">
        <is>
          <t>Direktur operasional</t>
        </is>
      </c>
    </row>
    <row r="21" ht="20" customHeight="1">
      <c r="B21" s="75" t="n">
        <v>11</v>
      </c>
      <c r="C21" s="76" t="inlineStr">
        <is>
          <t>Raka</t>
        </is>
      </c>
      <c r="D21" s="81" t="inlineStr">
        <is>
          <t>CPP</t>
        </is>
      </c>
      <c r="E21" s="78" t="inlineStr">
        <is>
          <t>Teman Kerja</t>
        </is>
      </c>
      <c r="F21" s="79" t="inlineStr">
        <is>
          <t>Cetak</t>
        </is>
      </c>
      <c r="G21" s="66" t="n">
        <v>3</v>
      </c>
      <c r="H21" s="62" t="inlineStr">
        <is>
          <t>Terkirim</t>
        </is>
      </c>
      <c r="I21" s="80" t="inlineStr">
        <is>
          <t>Hadir</t>
        </is>
      </c>
      <c r="J21" s="16" t="inlineStr">
        <is>
          <t>Rekan satu divisi</t>
        </is>
      </c>
    </row>
    <row r="22" ht="20" customHeight="1">
      <c r="B22" s="75" t="n">
        <v>12</v>
      </c>
      <c r="C22" s="76" t="inlineStr">
        <is>
          <t>Kak Dini</t>
        </is>
      </c>
      <c r="D22" s="81" t="inlineStr">
        <is>
          <t>CPP</t>
        </is>
      </c>
      <c r="E22" s="82" t="inlineStr">
        <is>
          <t>Teman Sekolah</t>
        </is>
      </c>
      <c r="F22" s="79" t="inlineStr">
        <is>
          <t>Cetak</t>
        </is>
      </c>
      <c r="G22" s="66" t="n">
        <v>1</v>
      </c>
      <c r="H22" s="62" t="inlineStr">
        <is>
          <t>Terkirim</t>
        </is>
      </c>
      <c r="I22" s="80" t="inlineStr">
        <is>
          <t>Hadir</t>
        </is>
      </c>
      <c r="J22" s="16" t="inlineStr">
        <is>
          <t>Senior kampus</t>
        </is>
      </c>
    </row>
    <row r="23" ht="20" customHeight="1">
      <c r="B23" s="75" t="n">
        <v>13</v>
      </c>
      <c r="C23" s="76" t="inlineStr">
        <is>
          <t>Bu Wati</t>
        </is>
      </c>
      <c r="D23" s="81" t="inlineStr">
        <is>
          <t>CPP</t>
        </is>
      </c>
      <c r="E23" s="85" t="inlineStr">
        <is>
          <t>Keluarga</t>
        </is>
      </c>
      <c r="F23" s="83" t="inlineStr">
        <is>
          <t>Digital</t>
        </is>
      </c>
      <c r="G23" s="66" t="n">
        <v>3</v>
      </c>
      <c r="H23" s="62" t="inlineStr">
        <is>
          <t>Terkirim</t>
        </is>
      </c>
      <c r="I23" s="80" t="inlineStr">
        <is>
          <t>Hadir</t>
        </is>
      </c>
      <c r="J23" s="16" t="inlineStr">
        <is>
          <t>Keluarga Semarang</t>
        </is>
      </c>
    </row>
    <row r="24" ht="20" customHeight="1">
      <c r="B24" s="75" t="n">
        <v>14</v>
      </c>
      <c r="C24" s="76" t="inlineStr">
        <is>
          <t>Pak Joko</t>
        </is>
      </c>
      <c r="D24" s="77" t="inlineStr">
        <is>
          <t>CPW</t>
        </is>
      </c>
      <c r="E24" s="86" t="inlineStr">
        <is>
          <t>Tetangga</t>
        </is>
      </c>
      <c r="F24" s="83" t="inlineStr">
        <is>
          <t>Digital</t>
        </is>
      </c>
      <c r="G24" s="66" t="n">
        <v>2</v>
      </c>
      <c r="H24" s="19" t="inlineStr">
        <is>
          <t>Belum</t>
        </is>
      </c>
      <c r="I24" s="84" t="inlineStr">
        <is>
          <t>Belum</t>
        </is>
      </c>
      <c r="J24" s="16" t="inlineStr">
        <is>
          <t>Ketua RT lingkungan CPW</t>
        </is>
      </c>
    </row>
    <row r="25" ht="20" customHeight="1">
      <c r="B25" s="75" t="n">
        <v>15</v>
      </c>
      <c r="C25" s="76" t="inlineStr">
        <is>
          <t>Sinta</t>
        </is>
      </c>
      <c r="D25" s="77" t="inlineStr">
        <is>
          <t>CPW</t>
        </is>
      </c>
      <c r="E25" s="78" t="inlineStr">
        <is>
          <t>Teman Kerja</t>
        </is>
      </c>
      <c r="F25" s="79" t="inlineStr">
        <is>
          <t>Cetak</t>
        </is>
      </c>
      <c r="G25" s="66" t="n">
        <v>1</v>
      </c>
      <c r="H25" s="19" t="inlineStr">
        <is>
          <t>Belum</t>
        </is>
      </c>
      <c r="I25" s="84" t="inlineStr">
        <is>
          <t>Belum</t>
        </is>
      </c>
      <c r="J25" s="16" t="inlineStr">
        <is>
          <t>Marketing team</t>
        </is>
      </c>
    </row>
    <row r="26" ht="20" customHeight="1">
      <c r="B26" s="75" t="n">
        <v>16</v>
      </c>
      <c r="C26" s="76" t="inlineStr">
        <is>
          <t>Reza</t>
        </is>
      </c>
      <c r="D26" s="77" t="inlineStr">
        <is>
          <t>CPW</t>
        </is>
      </c>
      <c r="E26" s="82" t="inlineStr">
        <is>
          <t>Teman Sekolah</t>
        </is>
      </c>
      <c r="F26" s="83" t="inlineStr">
        <is>
          <t>Digital</t>
        </is>
      </c>
      <c r="G26" s="66" t="n">
        <v>1</v>
      </c>
      <c r="H26" s="19" t="inlineStr">
        <is>
          <t>Belum</t>
        </is>
      </c>
      <c r="I26" s="87" t="inlineStr">
        <is>
          <t>Tidak Hadir</t>
        </is>
      </c>
      <c r="J26" s="16" t="inlineStr">
        <is>
          <t>Ada dinas luar kota</t>
        </is>
      </c>
    </row>
    <row r="27" ht="20" customHeight="1">
      <c r="B27" s="75" t="n">
        <v>17</v>
      </c>
      <c r="C27" s="76" t="inlineStr">
        <is>
          <t>Nanda</t>
        </is>
      </c>
      <c r="D27" s="77" t="inlineStr">
        <is>
          <t>CPW</t>
        </is>
      </c>
      <c r="E27" s="82" t="inlineStr">
        <is>
          <t>Teman Sekolah</t>
        </is>
      </c>
      <c r="F27" s="83" t="inlineStr">
        <is>
          <t>Digital</t>
        </is>
      </c>
      <c r="G27" s="66" t="n">
        <v>2</v>
      </c>
      <c r="H27" s="62" t="inlineStr">
        <is>
          <t>Terkirim</t>
        </is>
      </c>
      <c r="I27" s="80" t="inlineStr">
        <is>
          <t>Hadir</t>
        </is>
      </c>
      <c r="J27" s="16" t="inlineStr">
        <is>
          <t>Teman sebangku SMA</t>
        </is>
      </c>
    </row>
    <row r="28" ht="20" customHeight="1">
      <c r="B28" s="75" t="n">
        <v>18</v>
      </c>
      <c r="C28" s="76" t="inlineStr">
        <is>
          <t>Tia</t>
        </is>
      </c>
      <c r="D28" s="77" t="inlineStr">
        <is>
          <t>CPW</t>
        </is>
      </c>
      <c r="E28" s="88" t="inlineStr">
        <is>
          <t>Teman Kuliah</t>
        </is>
      </c>
      <c r="F28" s="83" t="inlineStr">
        <is>
          <t>Digital</t>
        </is>
      </c>
      <c r="G28" s="66" t="n">
        <v>1</v>
      </c>
      <c r="H28" s="62" t="inlineStr">
        <is>
          <t>Terkirim</t>
        </is>
      </c>
      <c r="I28" s="80" t="inlineStr">
        <is>
          <t>Hadir</t>
        </is>
      </c>
      <c r="J28" s="16" t="inlineStr">
        <is>
          <t>Teman KKN</t>
        </is>
      </c>
    </row>
    <row r="29" ht="20" customHeight="1">
      <c r="B29" s="75" t="n">
        <v>19</v>
      </c>
      <c r="C29" s="76" t="inlineStr">
        <is>
          <t>Deni</t>
        </is>
      </c>
      <c r="D29" s="81" t="inlineStr">
        <is>
          <t>CPP</t>
        </is>
      </c>
      <c r="E29" s="82" t="inlineStr">
        <is>
          <t>Teman Sekolah</t>
        </is>
      </c>
      <c r="F29" s="79" t="inlineStr">
        <is>
          <t>Cetak</t>
        </is>
      </c>
      <c r="G29" s="66" t="n">
        <v>1</v>
      </c>
      <c r="H29" s="62" t="inlineStr">
        <is>
          <t>Terkirim</t>
        </is>
      </c>
      <c r="I29" s="80" t="inlineStr">
        <is>
          <t>Hadir</t>
        </is>
      </c>
      <c r="J29" s="16" t="inlineStr">
        <is>
          <t>Sahabat dekat</t>
        </is>
      </c>
    </row>
    <row r="30" ht="20" customHeight="1">
      <c r="B30" s="75" t="n">
        <v>20</v>
      </c>
      <c r="C30" s="76" t="inlineStr">
        <is>
          <t>Sarah Lestari</t>
        </is>
      </c>
      <c r="D30" s="77" t="inlineStr">
        <is>
          <t>CPW</t>
        </is>
      </c>
      <c r="E30" s="85" t="inlineStr">
        <is>
          <t>Keluarga</t>
        </is>
      </c>
      <c r="F30" s="79" t="inlineStr">
        <is>
          <t>Cetak</t>
        </is>
      </c>
      <c r="G30" s="66" t="n">
        <v>1</v>
      </c>
      <c r="H30" s="62" t="inlineStr">
        <is>
          <t>Terkirim</t>
        </is>
      </c>
      <c r="I30" s="80" t="inlineStr">
        <is>
          <t>Hadir</t>
        </is>
      </c>
      <c r="J30" s="16" t="inlineStr">
        <is>
          <t>Sepupu dekat</t>
        </is>
      </c>
    </row>
    <row r="31" ht="20" customHeight="1">
      <c r="B31" s="75" t="n">
        <v>21</v>
      </c>
      <c r="C31" s="76" t="inlineStr">
        <is>
          <t>Dika Pratama</t>
        </is>
      </c>
      <c r="D31" s="81" t="inlineStr">
        <is>
          <t>CPP</t>
        </is>
      </c>
      <c r="E31" s="82" t="inlineStr">
        <is>
          <t>Teman Sekolah</t>
        </is>
      </c>
      <c r="F31" s="83" t="inlineStr">
        <is>
          <t>Digital</t>
        </is>
      </c>
      <c r="G31" s="66" t="n">
        <v>2</v>
      </c>
      <c r="H31" s="62" t="inlineStr">
        <is>
          <t>Terkirim</t>
        </is>
      </c>
      <c r="I31" s="80" t="inlineStr">
        <is>
          <t>Hadir</t>
        </is>
      </c>
      <c r="J31" s="16" t="inlineStr">
        <is>
          <t>Teman kampus</t>
        </is>
      </c>
    </row>
    <row r="32" ht="20" customHeight="1">
      <c r="B32" s="75" t="n">
        <v>22</v>
      </c>
      <c r="C32" s="76" t="inlineStr">
        <is>
          <t>Fajar Nugraha</t>
        </is>
      </c>
      <c r="D32" s="81" t="inlineStr">
        <is>
          <t>CPP</t>
        </is>
      </c>
      <c r="E32" s="82" t="inlineStr">
        <is>
          <t>Teman Sekolah</t>
        </is>
      </c>
      <c r="F32" s="79" t="inlineStr">
        <is>
          <t>Cetak</t>
        </is>
      </c>
      <c r="G32" s="66" t="n">
        <v>1</v>
      </c>
      <c r="H32" s="62" t="inlineStr">
        <is>
          <t>Terkirim</t>
        </is>
      </c>
      <c r="I32" s="80" t="inlineStr">
        <is>
          <t>Hadir</t>
        </is>
      </c>
      <c r="J32" s="16" t="inlineStr">
        <is>
          <t>Groomsman</t>
        </is>
      </c>
    </row>
    <row r="33" ht="20" customHeight="1">
      <c r="B33" s="75" t="n">
        <v>23</v>
      </c>
      <c r="C33" s="76" t="inlineStr">
        <is>
          <t>Tante Ani Surabaya</t>
        </is>
      </c>
      <c r="D33" s="81" t="inlineStr">
        <is>
          <t>CPP</t>
        </is>
      </c>
      <c r="E33" s="85" t="inlineStr">
        <is>
          <t>Keluarga</t>
        </is>
      </c>
      <c r="F33" s="83" t="inlineStr">
        <is>
          <t>Digital</t>
        </is>
      </c>
      <c r="G33" s="66" t="n">
        <v>2</v>
      </c>
      <c r="H33" s="62" t="inlineStr">
        <is>
          <t>Terkirim</t>
        </is>
      </c>
      <c r="I33" s="80" t="inlineStr">
        <is>
          <t>Hadir</t>
        </is>
      </c>
      <c r="J33" s="16" t="inlineStr">
        <is>
          <t>Rombongan dari Jatim</t>
        </is>
      </c>
    </row>
    <row r="34" ht="20" customHeight="1">
      <c r="B34" s="75" t="n">
        <v>24</v>
      </c>
      <c r="C34" s="76" t="inlineStr">
        <is>
          <t>Bu Sari Mulyadi</t>
        </is>
      </c>
      <c r="D34" s="81" t="inlineStr">
        <is>
          <t>CPP</t>
        </is>
      </c>
      <c r="E34" s="85" t="inlineStr">
        <is>
          <t>Keluarga</t>
        </is>
      </c>
      <c r="F34" s="83" t="inlineStr">
        <is>
          <t>Digital</t>
        </is>
      </c>
      <c r="G34" s="66" t="n">
        <v>3</v>
      </c>
      <c r="H34" s="62" t="inlineStr">
        <is>
          <t>Terkirim</t>
        </is>
      </c>
      <c r="I34" s="80" t="inlineStr">
        <is>
          <t>Hadir</t>
        </is>
      </c>
      <c r="J34" s="16" t="inlineStr">
        <is>
          <t>Uwak kandung</t>
        </is>
      </c>
    </row>
    <row r="35" ht="20" customHeight="1">
      <c r="B35" s="75" t="n">
        <v>25</v>
      </c>
      <c r="C35" s="76" t="inlineStr">
        <is>
          <t>Pak Hendra Jaya</t>
        </is>
      </c>
      <c r="D35" s="81" t="inlineStr">
        <is>
          <t>CPP</t>
        </is>
      </c>
      <c r="E35" s="78" t="inlineStr">
        <is>
          <t>Teman Kerja</t>
        </is>
      </c>
      <c r="F35" s="83" t="inlineStr">
        <is>
          <t>Digital</t>
        </is>
      </c>
      <c r="G35" s="66" t="n">
        <v>1</v>
      </c>
      <c r="H35" s="62" t="inlineStr">
        <is>
          <t>Terkirim</t>
        </is>
      </c>
      <c r="I35" s="80" t="inlineStr">
        <is>
          <t>Hadir</t>
        </is>
      </c>
      <c r="J35" s="16" t="inlineStr">
        <is>
          <t>Kolega kantor pusat</t>
        </is>
      </c>
    </row>
    <row r="36" ht="20" customHeight="1">
      <c r="B36" s="75" t="n">
        <v>26</v>
      </c>
      <c r="C36" s="76" t="inlineStr">
        <is>
          <t>Raka Ramadhan</t>
        </is>
      </c>
      <c r="D36" s="81" t="inlineStr">
        <is>
          <t>CPP</t>
        </is>
      </c>
      <c r="E36" s="78" t="inlineStr">
        <is>
          <t>Teman Kerja</t>
        </is>
      </c>
      <c r="F36" s="79" t="inlineStr">
        <is>
          <t>Cetak</t>
        </is>
      </c>
      <c r="G36" s="66" t="n">
        <v>3</v>
      </c>
      <c r="H36" s="19" t="inlineStr">
        <is>
          <t>Belum</t>
        </is>
      </c>
      <c r="I36" s="84" t="inlineStr">
        <is>
          <t>Belum</t>
        </is>
      </c>
      <c r="J36" s="16" t="inlineStr">
        <is>
          <t>Tamu VIP Kantor</t>
        </is>
      </c>
    </row>
    <row r="37" ht="20" customHeight="1">
      <c r="B37" s="75" t="n">
        <v>27</v>
      </c>
      <c r="C37" s="76" t="inlineStr">
        <is>
          <t>Kak Dini Safira</t>
        </is>
      </c>
      <c r="D37" s="77" t="inlineStr">
        <is>
          <t>CPW</t>
        </is>
      </c>
      <c r="E37" s="82" t="inlineStr">
        <is>
          <t>Teman Sekolah</t>
        </is>
      </c>
      <c r="F37" s="83" t="inlineStr">
        <is>
          <t>Digital</t>
        </is>
      </c>
      <c r="G37" s="66" t="n">
        <v>2</v>
      </c>
      <c r="H37" s="19" t="inlineStr">
        <is>
          <t>Belum</t>
        </is>
      </c>
      <c r="I37" s="84" t="inlineStr">
        <is>
          <t>Belum</t>
        </is>
      </c>
      <c r="J37" s="16" t="inlineStr">
        <is>
          <t>Bridesmaid</t>
        </is>
      </c>
    </row>
    <row r="38" ht="20" customHeight="1">
      <c r="B38" s="75" t="n">
        <v>28</v>
      </c>
      <c r="C38" s="76" t="inlineStr">
        <is>
          <t>Bu Wati Kartika</t>
        </is>
      </c>
      <c r="D38" s="77" t="inlineStr">
        <is>
          <t>CPW</t>
        </is>
      </c>
      <c r="E38" s="82" t="inlineStr">
        <is>
          <t>Teman Sekolah</t>
        </is>
      </c>
      <c r="F38" s="79" t="inlineStr">
        <is>
          <t>Cetak</t>
        </is>
      </c>
      <c r="G38" s="66" t="n">
        <v>1</v>
      </c>
      <c r="H38" s="19" t="inlineStr">
        <is>
          <t>Belum</t>
        </is>
      </c>
      <c r="I38" s="84" t="inlineStr">
        <is>
          <t>Belum</t>
        </is>
      </c>
      <c r="J38" s="16" t="inlineStr">
        <is>
          <t>Teman SMA</t>
        </is>
      </c>
    </row>
    <row r="39" ht="20" customHeight="1">
      <c r="B39" s="75" t="n">
        <v>29</v>
      </c>
      <c r="C39" s="76" t="inlineStr">
        <is>
          <t>Pak Hendra K.</t>
        </is>
      </c>
      <c r="D39" s="77" t="inlineStr">
        <is>
          <t>CPW</t>
        </is>
      </c>
      <c r="E39" s="85" t="inlineStr">
        <is>
          <t>Keluarga</t>
        </is>
      </c>
      <c r="F39" s="79" t="inlineStr">
        <is>
          <t>Cetak</t>
        </is>
      </c>
      <c r="G39" s="66" t="n">
        <v>1</v>
      </c>
      <c r="H39" s="62" t="inlineStr">
        <is>
          <t>Terkirim</t>
        </is>
      </c>
      <c r="I39" s="80" t="inlineStr">
        <is>
          <t>Hadir</t>
        </is>
      </c>
      <c r="J39" s="16" t="inlineStr">
        <is>
          <t>Pakde CPW</t>
        </is>
      </c>
    </row>
    <row r="40" ht="20" customHeight="1">
      <c r="B40" s="75" t="n">
        <v>30</v>
      </c>
      <c r="C40" s="76" t="inlineStr">
        <is>
          <t>Raka Aditya</t>
        </is>
      </c>
      <c r="D40" s="81" t="inlineStr">
        <is>
          <t>CPP</t>
        </is>
      </c>
      <c r="E40" s="82" t="inlineStr">
        <is>
          <t>Teman Sekolah</t>
        </is>
      </c>
      <c r="F40" s="83" t="inlineStr">
        <is>
          <t>Digital</t>
        </is>
      </c>
      <c r="G40" s="66" t="n">
        <v>2</v>
      </c>
      <c r="H40" s="62" t="inlineStr">
        <is>
          <t>Terkirim</t>
        </is>
      </c>
      <c r="I40" s="80" t="inlineStr">
        <is>
          <t>Hadir</t>
        </is>
      </c>
      <c r="J40" s="16" t="inlineStr">
        <is>
          <t>Teman masa kecil</t>
        </is>
      </c>
    </row>
    <row r="41" ht="20" customHeight="1">
      <c r="B41" s="75" t="n">
        <v>31</v>
      </c>
      <c r="C41" s="76" t="inlineStr">
        <is>
          <t>Kak Dini Anggraini</t>
        </is>
      </c>
      <c r="D41" s="81" t="inlineStr">
        <is>
          <t>CPP</t>
        </is>
      </c>
      <c r="E41" s="78" t="inlineStr">
        <is>
          <t>Teman Kerja</t>
        </is>
      </c>
      <c r="F41" s="83" t="inlineStr">
        <is>
          <t>Digital</t>
        </is>
      </c>
      <c r="G41" s="66" t="n">
        <v>1</v>
      </c>
      <c r="H41" s="62" t="inlineStr">
        <is>
          <t>Terkirim</t>
        </is>
      </c>
      <c r="I41" s="80" t="inlineStr">
        <is>
          <t>Hadir</t>
        </is>
      </c>
      <c r="J41" s="16" t="inlineStr">
        <is>
          <t>Head of Content</t>
        </is>
      </c>
    </row>
    <row r="42" ht="20" customHeight="1">
      <c r="B42" s="75" t="n">
        <v>32</v>
      </c>
      <c r="C42" s="76" t="inlineStr">
        <is>
          <t>Bu Wati Solo</t>
        </is>
      </c>
      <c r="D42" s="81" t="inlineStr">
        <is>
          <t>CPP</t>
        </is>
      </c>
      <c r="E42" s="82" t="inlineStr">
        <is>
          <t>Teman Sekolah</t>
        </is>
      </c>
      <c r="F42" s="79" t="inlineStr">
        <is>
          <t>Cetak</t>
        </is>
      </c>
      <c r="G42" s="66" t="n">
        <v>1</v>
      </c>
      <c r="H42" s="62" t="inlineStr">
        <is>
          <t>Terkirim</t>
        </is>
      </c>
      <c r="I42" s="80" t="inlineStr">
        <is>
          <t>Hadir</t>
        </is>
      </c>
      <c r="J42" s="16" t="inlineStr">
        <is>
          <t>Teman SMP</t>
        </is>
      </c>
    </row>
    <row r="43" ht="20" customHeight="1">
      <c r="B43" s="75" t="n">
        <v>33</v>
      </c>
      <c r="C43" s="76" t="inlineStr">
        <is>
          <t>Pak Joko Widodo</t>
        </is>
      </c>
      <c r="D43" s="77" t="inlineStr">
        <is>
          <t>CPW</t>
        </is>
      </c>
      <c r="E43" s="85" t="inlineStr">
        <is>
          <t>Keluarga</t>
        </is>
      </c>
      <c r="F43" s="83" t="inlineStr">
        <is>
          <t>Digital</t>
        </is>
      </c>
      <c r="G43" s="66" t="n">
        <v>1</v>
      </c>
      <c r="H43" s="62" t="inlineStr">
        <is>
          <t>Terkirim</t>
        </is>
      </c>
      <c r="I43" s="80" t="inlineStr">
        <is>
          <t>Hadir</t>
        </is>
      </c>
      <c r="J43" s="16" t="inlineStr">
        <is>
          <t>Om dari Bandung</t>
        </is>
      </c>
    </row>
    <row r="44" ht="20" customHeight="1">
      <c r="B44" s="75" t="n">
        <v>34</v>
      </c>
      <c r="C44" s="76" t="inlineStr">
        <is>
          <t>Sinta Kartika</t>
        </is>
      </c>
      <c r="D44" s="77" t="inlineStr">
        <is>
          <t>CPW</t>
        </is>
      </c>
      <c r="E44" s="78" t="inlineStr">
        <is>
          <t>Teman Kerja</t>
        </is>
      </c>
      <c r="F44" s="83" t="inlineStr">
        <is>
          <t>Digital</t>
        </is>
      </c>
      <c r="G44" s="66" t="n">
        <v>2</v>
      </c>
      <c r="H44" s="62" t="inlineStr">
        <is>
          <t>Terkirim</t>
        </is>
      </c>
      <c r="I44" s="80" t="inlineStr">
        <is>
          <t>Hadir</t>
        </is>
      </c>
      <c r="J44" s="16" t="inlineStr">
        <is>
          <t>Bridesmaid</t>
        </is>
      </c>
    </row>
    <row r="45" ht="20" customHeight="1">
      <c r="B45" s="75" t="n">
        <v>35</v>
      </c>
      <c r="C45" s="76" t="inlineStr">
        <is>
          <t>Reza Rahadian</t>
        </is>
      </c>
      <c r="D45" s="77" t="inlineStr">
        <is>
          <t>CPW</t>
        </is>
      </c>
      <c r="E45" s="78" t="inlineStr">
        <is>
          <t>Teman Kerja</t>
        </is>
      </c>
      <c r="F45" s="79" t="inlineStr">
        <is>
          <t>Cetak</t>
        </is>
      </c>
      <c r="G45" s="66" t="n">
        <v>1</v>
      </c>
      <c r="H45" s="62" t="inlineStr">
        <is>
          <t>Terkirim</t>
        </is>
      </c>
      <c r="I45" s="80" t="inlineStr">
        <is>
          <t>Hadir</t>
        </is>
      </c>
      <c r="J45" s="16" t="inlineStr">
        <is>
          <t>Tim Desain</t>
        </is>
      </c>
    </row>
    <row r="46" ht="20" customHeight="1">
      <c r="B46" s="75" t="n">
        <v>36</v>
      </c>
      <c r="C46" s="76" t="inlineStr">
        <is>
          <t>Nanda Putri</t>
        </is>
      </c>
      <c r="D46" s="77" t="inlineStr">
        <is>
          <t>CPW</t>
        </is>
      </c>
      <c r="E46" s="82" t="inlineStr">
        <is>
          <t>Teman Sekolah</t>
        </is>
      </c>
      <c r="F46" s="79" t="inlineStr">
        <is>
          <t>Cetak</t>
        </is>
      </c>
      <c r="G46" s="66" t="n">
        <v>2</v>
      </c>
      <c r="H46" s="62" t="inlineStr">
        <is>
          <t>Terkirim</t>
        </is>
      </c>
      <c r="I46" s="80" t="inlineStr">
        <is>
          <t>Hadir</t>
        </is>
      </c>
      <c r="J46" s="16" t="inlineStr">
        <is>
          <t>Sahabat SMA</t>
        </is>
      </c>
    </row>
    <row r="47" ht="20" customHeight="1">
      <c r="B47" s="75" t="n">
        <v>37</v>
      </c>
      <c r="C47" s="76" t="inlineStr">
        <is>
          <t>Sasa &amp; Suami</t>
        </is>
      </c>
      <c r="D47" s="77" t="inlineStr">
        <is>
          <t>CPW</t>
        </is>
      </c>
      <c r="E47" s="82" t="inlineStr">
        <is>
          <t>Teman Sekolah</t>
        </is>
      </c>
      <c r="F47" s="79" t="inlineStr">
        <is>
          <t>Cetak</t>
        </is>
      </c>
      <c r="G47" s="66" t="n">
        <v>3</v>
      </c>
      <c r="H47" s="62" t="inlineStr">
        <is>
          <t>Terkirim</t>
        </is>
      </c>
      <c r="I47" s="80" t="inlineStr">
        <is>
          <t>Hadir</t>
        </is>
      </c>
      <c r="J47" s="16" t="inlineStr">
        <is>
          <t>Teman kuliah arsitektur</t>
        </is>
      </c>
    </row>
    <row r="48" ht="20" customHeight="1">
      <c r="B48" s="75" t="n">
        <v>38</v>
      </c>
      <c r="C48" s="76" t="inlineStr">
        <is>
          <t>Rina Fitriani</t>
        </is>
      </c>
      <c r="D48" s="77" t="inlineStr">
        <is>
          <t>CPW</t>
        </is>
      </c>
      <c r="E48" s="85" t="inlineStr">
        <is>
          <t>Keluarga</t>
        </is>
      </c>
      <c r="F48" s="83" t="inlineStr">
        <is>
          <t>Digital</t>
        </is>
      </c>
      <c r="G48" s="66" t="n">
        <v>1</v>
      </c>
      <c r="H48" s="19" t="inlineStr">
        <is>
          <t>Belum</t>
        </is>
      </c>
      <c r="I48" s="84" t="inlineStr">
        <is>
          <t>Belum</t>
        </is>
      </c>
      <c r="J48" s="16" t="inlineStr">
        <is>
          <t>Keluarga Solo</t>
        </is>
      </c>
    </row>
    <row r="49" ht="20" customHeight="1">
      <c r="B49" s="75" t="n">
        <v>39</v>
      </c>
      <c r="C49" s="76" t="inlineStr">
        <is>
          <t>Budi Hartono</t>
        </is>
      </c>
      <c r="D49" s="77" t="inlineStr">
        <is>
          <t>CPW</t>
        </is>
      </c>
      <c r="E49" s="82" t="inlineStr">
        <is>
          <t>Teman Sekolah</t>
        </is>
      </c>
      <c r="F49" s="79" t="inlineStr">
        <is>
          <t>Cetak</t>
        </is>
      </c>
      <c r="G49" s="66" t="n">
        <v>3</v>
      </c>
      <c r="H49" s="19" t="inlineStr">
        <is>
          <t>Belum</t>
        </is>
      </c>
      <c r="I49" s="84" t="inlineStr">
        <is>
          <t>Belum</t>
        </is>
      </c>
      <c r="J49" s="16" t="inlineStr">
        <is>
          <t>Teman SMA</t>
        </is>
      </c>
    </row>
    <row r="50" ht="20" customHeight="1">
      <c r="B50" s="75" t="n">
        <v>40</v>
      </c>
      <c r="C50" s="76" t="inlineStr">
        <is>
          <t>Andi dan keluarga</t>
        </is>
      </c>
      <c r="D50" s="81" t="inlineStr">
        <is>
          <t>CPP</t>
        </is>
      </c>
      <c r="E50" s="78" t="inlineStr">
        <is>
          <t>Teman Kerja</t>
        </is>
      </c>
      <c r="F50" s="83" t="inlineStr">
        <is>
          <t>Digital</t>
        </is>
      </c>
      <c r="G50" s="66" t="n">
        <v>2</v>
      </c>
      <c r="H50" s="19" t="inlineStr">
        <is>
          <t>Belum</t>
        </is>
      </c>
      <c r="I50" s="84" t="inlineStr">
        <is>
          <t>Belum</t>
        </is>
      </c>
      <c r="J50" s="16" t="inlineStr">
        <is>
          <t>Lead Engineering</t>
        </is>
      </c>
    </row>
    <row r="51" ht="20" customHeight="1">
      <c r="B51" s="75" t="n">
        <v>41</v>
      </c>
      <c r="C51" s="76" t="inlineStr">
        <is>
          <t>Sarah Amalia</t>
        </is>
      </c>
      <c r="D51" s="81" t="inlineStr">
        <is>
          <t>CPP</t>
        </is>
      </c>
      <c r="E51" s="82" t="inlineStr">
        <is>
          <t>Teman Sekolah</t>
        </is>
      </c>
      <c r="F51" s="83" t="inlineStr">
        <is>
          <t>Digital</t>
        </is>
      </c>
      <c r="G51" s="66" t="n">
        <v>1</v>
      </c>
      <c r="H51" s="62" t="inlineStr">
        <is>
          <t>Terkirim</t>
        </is>
      </c>
      <c r="I51" s="80" t="inlineStr">
        <is>
          <t>Hadir</t>
        </is>
      </c>
      <c r="J51" s="16" t="inlineStr">
        <is>
          <t>Teman kampus</t>
        </is>
      </c>
    </row>
    <row r="52" ht="20" customHeight="1">
      <c r="B52" s="75" t="n">
        <v>42</v>
      </c>
      <c r="C52" s="76" t="inlineStr">
        <is>
          <t>Dika Permana</t>
        </is>
      </c>
      <c r="D52" s="81" t="inlineStr">
        <is>
          <t>CPP</t>
        </is>
      </c>
      <c r="E52" s="82" t="inlineStr">
        <is>
          <t>Teman Sekolah</t>
        </is>
      </c>
      <c r="F52" s="83" t="inlineStr">
        <is>
          <t>Digital</t>
        </is>
      </c>
      <c r="G52" s="66" t="n">
        <v>1</v>
      </c>
      <c r="H52" s="62" t="inlineStr">
        <is>
          <t>Terkirim</t>
        </is>
      </c>
      <c r="I52" s="80" t="inlineStr">
        <is>
          <t>Hadir</t>
        </is>
      </c>
      <c r="J52" s="16" t="inlineStr">
        <is>
          <t>Groomsman</t>
        </is>
      </c>
    </row>
    <row r="53" ht="20" customHeight="1">
      <c r="B53" s="75" t="n">
        <v>43</v>
      </c>
      <c r="C53" s="76" t="inlineStr">
        <is>
          <t>Fajar Sidik</t>
        </is>
      </c>
      <c r="D53" s="81" t="inlineStr">
        <is>
          <t>CPP</t>
        </is>
      </c>
      <c r="E53" s="85" t="inlineStr">
        <is>
          <t>Keluarga</t>
        </is>
      </c>
      <c r="F53" s="79" t="inlineStr">
        <is>
          <t>Cetak</t>
        </is>
      </c>
      <c r="G53" s="66" t="n">
        <v>1</v>
      </c>
      <c r="H53" s="62" t="inlineStr">
        <is>
          <t>Terkirim</t>
        </is>
      </c>
      <c r="I53" s="80" t="inlineStr">
        <is>
          <t>Hadir</t>
        </is>
      </c>
      <c r="J53" s="16" t="inlineStr">
        <is>
          <t>Om kandung</t>
        </is>
      </c>
    </row>
    <row r="54" ht="20" customHeight="1">
      <c r="B54" s="75" t="n">
        <v>44</v>
      </c>
      <c r="C54" s="76" t="inlineStr">
        <is>
          <t>Tante Ani Depok</t>
        </is>
      </c>
      <c r="D54" s="81" t="inlineStr">
        <is>
          <t>CPP</t>
        </is>
      </c>
      <c r="E54" s="85" t="inlineStr">
        <is>
          <t>Keluarga</t>
        </is>
      </c>
      <c r="F54" s="83" t="inlineStr">
        <is>
          <t>Digital</t>
        </is>
      </c>
      <c r="G54" s="66" t="n">
        <v>2</v>
      </c>
      <c r="H54" s="62" t="inlineStr">
        <is>
          <t>Terkirim</t>
        </is>
      </c>
      <c r="I54" s="80" t="inlineStr">
        <is>
          <t>Hadir</t>
        </is>
      </c>
      <c r="J54" s="16" t="inlineStr">
        <is>
          <t>Keluarga Depok</t>
        </is>
      </c>
    </row>
    <row r="55" ht="20" customHeight="1">
      <c r="B55" s="75" t="n">
        <v>45</v>
      </c>
      <c r="C55" s="76" t="inlineStr">
        <is>
          <t>Bu Sari Wardani</t>
        </is>
      </c>
      <c r="D55" s="81" t="inlineStr">
        <is>
          <t>CPP</t>
        </is>
      </c>
      <c r="E55" s="85" t="inlineStr">
        <is>
          <t>Keluarga</t>
        </is>
      </c>
      <c r="F55" s="79" t="inlineStr">
        <is>
          <t>Cetak</t>
        </is>
      </c>
      <c r="G55" s="66" t="n">
        <v>1</v>
      </c>
      <c r="H55" s="62" t="inlineStr">
        <is>
          <t>Terkirim</t>
        </is>
      </c>
      <c r="I55" s="80" t="inlineStr">
        <is>
          <t>Hadir</t>
        </is>
      </c>
      <c r="J55" s="16" t="inlineStr">
        <is>
          <t>Bude CPP</t>
        </is>
      </c>
    </row>
    <row r="56" ht="20" customHeight="1">
      <c r="B56" s="75" t="n">
        <v>46</v>
      </c>
      <c r="C56" s="76" t="inlineStr">
        <is>
          <t>Pak Hendra Wijaya</t>
        </is>
      </c>
      <c r="D56" s="77" t="inlineStr">
        <is>
          <t>CPW</t>
        </is>
      </c>
      <c r="E56" s="82" t="inlineStr">
        <is>
          <t>Teman Sekolah</t>
        </is>
      </c>
      <c r="F56" s="79" t="inlineStr">
        <is>
          <t>Cetak</t>
        </is>
      </c>
      <c r="G56" s="66" t="n">
        <v>2</v>
      </c>
      <c r="H56" s="62" t="inlineStr">
        <is>
          <t>Terkirim</t>
        </is>
      </c>
      <c r="I56" s="80" t="inlineStr">
        <is>
          <t>Hadir</t>
        </is>
      </c>
      <c r="J56" s="16" t="inlineStr">
        <is>
          <t>Rekan bisnis ayah</t>
        </is>
      </c>
    </row>
    <row r="57" ht="20" customHeight="1">
      <c r="B57" s="75" t="n">
        <v>47</v>
      </c>
      <c r="C57" s="76" t="inlineStr">
        <is>
          <t>Raka Purnama</t>
        </is>
      </c>
      <c r="D57" s="77" t="inlineStr">
        <is>
          <t>CPW</t>
        </is>
      </c>
      <c r="E57" s="82" t="inlineStr">
        <is>
          <t>Teman Sekolah</t>
        </is>
      </c>
      <c r="F57" s="83" t="inlineStr">
        <is>
          <t>Digital</t>
        </is>
      </c>
      <c r="G57" s="66" t="n">
        <v>1</v>
      </c>
      <c r="H57" s="62" t="inlineStr">
        <is>
          <t>Terkirim</t>
        </is>
      </c>
      <c r="I57" s="80" t="inlineStr">
        <is>
          <t>Hadir</t>
        </is>
      </c>
      <c r="J57" s="16" t="inlineStr">
        <is>
          <t>Teman kampus</t>
        </is>
      </c>
    </row>
    <row r="58" ht="20" customHeight="1">
      <c r="B58" s="75" t="n">
        <v>48</v>
      </c>
      <c r="C58" s="76" t="inlineStr">
        <is>
          <t>Dimas &amp; Partner</t>
        </is>
      </c>
      <c r="D58" s="81" t="inlineStr">
        <is>
          <t>CPP</t>
        </is>
      </c>
      <c r="E58" s="88" t="inlineStr">
        <is>
          <t>Teman Kuliah</t>
        </is>
      </c>
      <c r="F58" s="83" t="inlineStr">
        <is>
          <t>Digital</t>
        </is>
      </c>
      <c r="G58" s="66" t="n">
        <v>2</v>
      </c>
      <c r="H58" s="62" t="inlineStr">
        <is>
          <t>Terkirim</t>
        </is>
      </c>
      <c r="I58" s="80" t="inlineStr">
        <is>
          <t>Hadir</t>
        </is>
      </c>
      <c r="J58" s="16" t="inlineStr">
        <is>
          <t>Teman kos Bandung</t>
        </is>
      </c>
    </row>
    <row r="59" ht="20" customHeight="1">
      <c r="B59" s="75" t="n">
        <v>49</v>
      </c>
      <c r="C59" s="76" t="inlineStr">
        <is>
          <t>Maya &amp; Suami</t>
        </is>
      </c>
      <c r="D59" s="77" t="inlineStr">
        <is>
          <t>CPW</t>
        </is>
      </c>
      <c r="E59" s="88" t="inlineStr">
        <is>
          <t>Teman Kuliah</t>
        </is>
      </c>
      <c r="F59" s="83" t="inlineStr">
        <is>
          <t>Digital</t>
        </is>
      </c>
      <c r="G59" s="66" t="n">
        <v>2</v>
      </c>
      <c r="H59" s="62" t="inlineStr">
        <is>
          <t>Terkirim</t>
        </is>
      </c>
      <c r="I59" s="80" t="inlineStr">
        <is>
          <t>Hadir</t>
        </is>
      </c>
      <c r="J59" s="16" t="inlineStr">
        <is>
          <t>Teman bimbingan skripsi</t>
        </is>
      </c>
    </row>
    <row r="60" ht="20" customHeight="1">
      <c r="B60" s="75" t="n">
        <v>50</v>
      </c>
      <c r="C60" s="76" t="inlineStr">
        <is>
          <t>Kevin Sanjaya</t>
        </is>
      </c>
      <c r="D60" s="81" t="inlineStr">
        <is>
          <t>CPP</t>
        </is>
      </c>
      <c r="E60" s="78" t="inlineStr">
        <is>
          <t>Teman Kerja</t>
        </is>
      </c>
      <c r="F60" s="83" t="inlineStr">
        <is>
          <t>Digital</t>
        </is>
      </c>
      <c r="G60" s="66" t="n">
        <v>1</v>
      </c>
      <c r="H60" s="62" t="inlineStr">
        <is>
          <t>Terkirim</t>
        </is>
      </c>
      <c r="I60" s="80" t="inlineStr">
        <is>
          <t>Hadir</t>
        </is>
      </c>
      <c r="J60" s="16" t="inlineStr">
        <is>
          <t>Product Manager</t>
        </is>
      </c>
    </row>
    <row r="61" ht="20" customHeight="1">
      <c r="B61" s="75" t="n">
        <v>51</v>
      </c>
      <c r="C61" s="76" t="inlineStr">
        <is>
          <t>Fitri &amp; Keluarga</t>
        </is>
      </c>
      <c r="D61" s="77" t="inlineStr">
        <is>
          <t>CPW</t>
        </is>
      </c>
      <c r="E61" s="86" t="inlineStr">
        <is>
          <t>Tetangga</t>
        </is>
      </c>
      <c r="F61" s="79" t="inlineStr">
        <is>
          <t>Cetak</t>
        </is>
      </c>
      <c r="G61" s="66" t="n">
        <v>3</v>
      </c>
      <c r="H61" s="62" t="inlineStr">
        <is>
          <t>Terkirim</t>
        </is>
      </c>
      <c r="I61" s="80" t="inlineStr">
        <is>
          <t>Hadir</t>
        </is>
      </c>
      <c r="J61" s="16" t="inlineStr">
        <is>
          <t>Tetangga samping rumah</t>
        </is>
      </c>
    </row>
    <row r="62" ht="20" customHeight="1">
      <c r="B62" s="75" t="n">
        <v>52</v>
      </c>
      <c r="C62" s="76" t="inlineStr">
        <is>
          <t>Aditya Rahman</t>
        </is>
      </c>
      <c r="D62" s="81" t="inlineStr">
        <is>
          <t>CPP</t>
        </is>
      </c>
      <c r="E62" s="82" t="inlineStr">
        <is>
          <t>Teman Sekolah</t>
        </is>
      </c>
      <c r="F62" s="83" t="inlineStr">
        <is>
          <t>Digital</t>
        </is>
      </c>
      <c r="G62" s="66" t="n">
        <v>1</v>
      </c>
      <c r="H62" s="62" t="inlineStr">
        <is>
          <t>Terkirim</t>
        </is>
      </c>
      <c r="I62" s="87" t="inlineStr">
        <is>
          <t>Tidak Hadir</t>
        </is>
      </c>
      <c r="J62" s="16" t="inlineStr">
        <is>
          <t>Sedang tugas luar negeri</t>
        </is>
      </c>
    </row>
    <row r="63" ht="20" customHeight="1">
      <c r="B63" s="75" t="n">
        <v>53</v>
      </c>
      <c r="C63" s="76" t="inlineStr">
        <is>
          <t>Nadia Paramita</t>
        </is>
      </c>
      <c r="D63" s="77" t="inlineStr">
        <is>
          <t>CPW</t>
        </is>
      </c>
      <c r="E63" s="78" t="inlineStr">
        <is>
          <t>Teman Kerja</t>
        </is>
      </c>
      <c r="F63" s="79" t="inlineStr">
        <is>
          <t>Cetak</t>
        </is>
      </c>
      <c r="G63" s="66" t="n">
        <v>2</v>
      </c>
      <c r="H63" s="62" t="inlineStr">
        <is>
          <t>Terkirim</t>
        </is>
      </c>
      <c r="I63" s="80" t="inlineStr">
        <is>
          <t>Hadir</t>
        </is>
      </c>
      <c r="J63" s="16" t="inlineStr">
        <is>
          <t>Rekan HRD</t>
        </is>
      </c>
    </row>
    <row r="64" ht="20" customHeight="1">
      <c r="B64" s="75" t="n">
        <v>54</v>
      </c>
      <c r="C64" s="76" t="inlineStr">
        <is>
          <t>Bambang &amp; Istri</t>
        </is>
      </c>
      <c r="D64" s="81" t="inlineStr">
        <is>
          <t>CPP</t>
        </is>
      </c>
      <c r="E64" s="85" t="inlineStr">
        <is>
          <t>Keluarga</t>
        </is>
      </c>
      <c r="F64" s="79" t="inlineStr">
        <is>
          <t>Cetak</t>
        </is>
      </c>
      <c r="G64" s="66" t="n">
        <v>2</v>
      </c>
      <c r="H64" s="62" t="inlineStr">
        <is>
          <t>Terkirim</t>
        </is>
      </c>
      <c r="I64" s="80" t="inlineStr">
        <is>
          <t>Hadir</t>
        </is>
      </c>
      <c r="J64" s="16" t="inlineStr">
        <is>
          <t>Paklek CPP</t>
        </is>
      </c>
    </row>
    <row r="65" ht="20" customHeight="1">
      <c r="B65" s="75" t="n">
        <v>55</v>
      </c>
      <c r="C65" s="76" t="inlineStr">
        <is>
          <t>dr. Hendro &amp; Istri</t>
        </is>
      </c>
      <c r="D65" s="77" t="inlineStr">
        <is>
          <t>CPW</t>
        </is>
      </c>
      <c r="E65" s="85" t="inlineStr">
        <is>
          <t>Keluarga</t>
        </is>
      </c>
      <c r="F65" s="79" t="inlineStr">
        <is>
          <t>Cetak</t>
        </is>
      </c>
      <c r="G65" s="66" t="n">
        <v>2</v>
      </c>
      <c r="H65" s="62" t="inlineStr">
        <is>
          <t>Terkirim</t>
        </is>
      </c>
      <c r="I65" s="80" t="inlineStr">
        <is>
          <t>Hadir</t>
        </is>
      </c>
      <c r="J65" s="16" t="inlineStr">
        <is>
          <t>Dokter keluarga / Om</t>
        </is>
      </c>
    </row>
  </sheetData>
  <mergeCells count="16">
    <mergeCell ref="G5"/>
    <mergeCell ref="H5"/>
    <mergeCell ref="B3:J3"/>
    <mergeCell ref="I6:J7"/>
    <mergeCell ref="B5:C5"/>
    <mergeCell ref="H6:H7"/>
    <mergeCell ref="G6:G7"/>
    <mergeCell ref="B6:C7"/>
    <mergeCell ref="I5:J5"/>
    <mergeCell ref="E6:E7"/>
    <mergeCell ref="F6:F7"/>
    <mergeCell ref="D6:D7"/>
    <mergeCell ref="F5"/>
    <mergeCell ref="D5"/>
    <mergeCell ref="B2:J2"/>
    <mergeCell ref="E5"/>
  </mergeCells>
  <dataValidations count="5">
    <dataValidation sqref="D11:D65" showDropDown="0" showInputMessage="0" showErrorMessage="0" allowBlank="1" type="list">
      <formula1>"CPW,CPP"</formula1>
    </dataValidation>
    <dataValidation sqref="E11:E65" showDropDown="0" showInputMessage="0" showErrorMessage="0" allowBlank="1" type="list">
      <formula1>"Keluarga,Teman Kerja,Teman Sekolah,Teman Kuliah,Tetangga,Lainnya"</formula1>
    </dataValidation>
    <dataValidation sqref="F11:F65" showDropDown="0" showInputMessage="0" showErrorMessage="0" allowBlank="1" type="list">
      <formula1>"Cetak,Digital"</formula1>
    </dataValidation>
    <dataValidation sqref="H11:H65" showDropDown="0" showInputMessage="0" showErrorMessage="0" allowBlank="1" type="list">
      <formula1>"Terkirim,Belum"</formula1>
    </dataValidation>
    <dataValidation sqref="I11:I65" showDropDown="0" showInputMessage="0" showErrorMessage="0" allowBlank="1" type="list">
      <formula1>"Hadir,Belum,Tidak Hadir"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E183B"/>
    <outlinePr summaryBelow="1" summaryRight="1"/>
    <pageSetUpPr/>
  </sheetPr>
  <dimension ref="B2:M56"/>
  <sheetViews>
    <sheetView showGridLines="1" workbookViewId="0">
      <pane xSplit="4" ySplit="10" topLeftCell="E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24" customWidth="1" min="3" max="3"/>
    <col width="32" customWidth="1" min="4" max="4"/>
    <col width="22" customWidth="1" min="5" max="5"/>
    <col width="16" customWidth="1" min="6" max="6"/>
    <col width="16" customWidth="1" min="7" max="7"/>
    <col width="15" customWidth="1" min="8" max="8"/>
    <col width="34" customWidth="1" min="9" max="9"/>
    <col width="3" customWidth="1" min="10" max="10"/>
    <col width="3" customWidth="1" min="11" max="11"/>
    <col width="26" customWidth="1" min="12" max="12"/>
    <col width="16" customWidth="1" min="13" max="13"/>
  </cols>
  <sheetData>
    <row r="2" ht="36" customHeight="1">
      <c r="B2" s="1" t="inlineStr">
        <is>
          <t xml:space="preserve">  LIST SESERAHAN  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 ht="20" customHeight="1">
      <c r="B3" s="3" t="inlineStr">
        <is>
          <t xml:space="preserve">  Perencanaan dan realisasi 8 kotak seserahan pernikahan impian.  </t>
        </is>
      </c>
      <c r="C3" s="4" t="n"/>
      <c r="D3" s="4" t="n"/>
      <c r="E3" s="4" t="n"/>
      <c r="F3" s="4" t="n"/>
      <c r="G3" s="4" t="n"/>
      <c r="H3" s="4" t="n"/>
      <c r="I3" s="4" t="n"/>
      <c r="J3" s="4" t="n"/>
    </row>
    <row r="5" ht="20" customHeight="1">
      <c r="B5" s="30" t="inlineStr">
        <is>
          <t>BUDGET SESERAHAN</t>
        </is>
      </c>
      <c r="C5" s="31" t="n"/>
      <c r="D5" s="30" t="inlineStr">
        <is>
          <t>REALISASI SESERAHAN</t>
        </is>
      </c>
      <c r="E5" s="31" t="n"/>
      <c r="F5" s="30" t="inlineStr">
        <is>
          <t>SISA BUDGET SESERAHAN</t>
        </is>
      </c>
      <c r="G5" s="31" t="n"/>
      <c r="H5" s="58" t="inlineStr">
        <is>
          <t>TOTAL BARANG</t>
        </is>
      </c>
      <c r="I5" s="30" t="inlineStr">
        <is>
          <t>STATUS SELESAI</t>
        </is>
      </c>
      <c r="J5" s="31" t="n"/>
    </row>
    <row r="6" ht="16" customHeight="1">
      <c r="B6" s="32">
        <f>F56</f>
        <v/>
      </c>
      <c r="C6" s="33" t="n"/>
      <c r="D6" s="32">
        <f>G56</f>
        <v/>
      </c>
      <c r="E6" s="33" t="n"/>
      <c r="F6" s="32">
        <f>B6-D6</f>
        <v/>
      </c>
      <c r="G6" s="33" t="n"/>
      <c r="H6" s="59">
        <f>COUNTA(D11:D58)</f>
        <v/>
      </c>
      <c r="I6" s="34">
        <f>COUNTIF(H11:H58, "Done")/B6</f>
        <v/>
      </c>
      <c r="J6" s="33" t="n"/>
    </row>
    <row r="7" ht="16" customHeight="1">
      <c r="B7" s="36" t="n"/>
      <c r="C7" s="37" t="n"/>
      <c r="D7" s="36" t="n"/>
      <c r="E7" s="37" t="n"/>
      <c r="F7" s="36" t="n"/>
      <c r="G7" s="37" t="n"/>
      <c r="H7" s="60" t="n"/>
      <c r="I7" s="36" t="n"/>
      <c r="J7" s="37" t="n"/>
    </row>
    <row r="10" ht="26" customHeight="1">
      <c r="B10" s="38" t="inlineStr">
        <is>
          <t>NO</t>
        </is>
      </c>
      <c r="C10" s="39" t="inlineStr">
        <is>
          <t>KATEGORI</t>
        </is>
      </c>
      <c r="D10" s="38" t="inlineStr">
        <is>
          <t>BARANG</t>
        </is>
      </c>
      <c r="E10" s="39" t="inlineStr">
        <is>
          <t>BRAND</t>
        </is>
      </c>
      <c r="F10" s="47" t="inlineStr">
        <is>
          <t>ANGGARAN</t>
        </is>
      </c>
      <c r="G10" s="47" t="inlineStr">
        <is>
          <t>REALISASI</t>
        </is>
      </c>
      <c r="H10" s="38" t="inlineStr">
        <is>
          <t>STATUS</t>
        </is>
      </c>
      <c r="I10" s="39" t="inlineStr">
        <is>
          <t>CATATAN / TOKO</t>
        </is>
      </c>
      <c r="L10" s="43" t="inlineStr">
        <is>
          <t>KATEGORI SESERAHAN</t>
        </is>
      </c>
      <c r="M10" s="43" t="inlineStr">
        <is>
          <t>REALISASI</t>
        </is>
      </c>
    </row>
    <row r="11" ht="20" customHeight="1">
      <c r="B11" s="15" t="n">
        <v>1</v>
      </c>
      <c r="C11" s="16" t="inlineStr">
        <is>
          <t>1. Perlengkapan Ibadah</t>
        </is>
      </c>
      <c r="D11" s="16" t="inlineStr">
        <is>
          <t>Al-Qur'an Tajwid Terjemahan A5</t>
        </is>
      </c>
      <c r="E11" s="16" t="inlineStr">
        <is>
          <t>Cordoba Premium</t>
        </is>
      </c>
      <c r="F11" s="50" t="n">
        <v>300000</v>
      </c>
      <c r="G11" s="50" t="n">
        <v>280000</v>
      </c>
      <c r="H11" s="61" t="inlineStr">
        <is>
          <t>Done</t>
        </is>
      </c>
      <c r="I11" s="16" t="inlineStr">
        <is>
          <t>Cover emboss rose gold</t>
        </is>
      </c>
      <c r="L11" s="8" t="inlineStr">
        <is>
          <t>1. Perlengkapan Ibadah</t>
        </is>
      </c>
      <c r="M11" s="50">
        <f>G15</f>
        <v/>
      </c>
    </row>
    <row r="12" ht="20" customHeight="1">
      <c r="B12" s="15" t="inlineStr"/>
      <c r="C12" s="16" t="inlineStr"/>
      <c r="D12" s="16" t="inlineStr">
        <is>
          <t>Mukena Silk Sutra Bordir</t>
        </is>
      </c>
      <c r="E12" s="16" t="inlineStr">
        <is>
          <t>Tazkia Hijab</t>
        </is>
      </c>
      <c r="F12" s="50" t="n">
        <v>650000</v>
      </c>
      <c r="G12" s="50" t="n">
        <v>600000</v>
      </c>
      <c r="H12" s="61" t="inlineStr">
        <is>
          <t>Done</t>
        </is>
      </c>
      <c r="I12" s="16" t="inlineStr">
        <is>
          <t>Bahan lembut include sajadah muka</t>
        </is>
      </c>
      <c r="L12" s="8" t="inlineStr">
        <is>
          <t>2. Pakaian &amp; Hijab</t>
        </is>
      </c>
      <c r="M12" s="50">
        <f>G21</f>
        <v/>
      </c>
    </row>
    <row r="13" ht="20" customHeight="1">
      <c r="B13" s="15" t="inlineStr"/>
      <c r="C13" s="16" t="inlineStr"/>
      <c r="D13" s="16" t="inlineStr">
        <is>
          <t>Sajadah Tenun Turki Premium</t>
        </is>
      </c>
      <c r="E13" s="16" t="inlineStr">
        <is>
          <t>Lokal Brand</t>
        </is>
      </c>
      <c r="F13" s="50" t="n">
        <v>250000</v>
      </c>
      <c r="G13" s="50" t="n">
        <v>250000</v>
      </c>
      <c r="H13" s="61" t="inlineStr">
        <is>
          <t>Done</t>
        </is>
      </c>
      <c r="I13" s="16" t="inlineStr">
        <is>
          <t>Warna beige motif kubah</t>
        </is>
      </c>
      <c r="L13" s="8" t="inlineStr">
        <is>
          <t>3. Skincare Routine</t>
        </is>
      </c>
      <c r="M13" s="50">
        <f>G27</f>
        <v/>
      </c>
    </row>
    <row r="14" ht="20" customHeight="1">
      <c r="B14" s="15" t="inlineStr"/>
      <c r="C14" s="16" t="inlineStr"/>
      <c r="D14" s="16" t="inlineStr">
        <is>
          <t>Tasbih Mutiara Kristal</t>
        </is>
      </c>
      <c r="E14" s="16" t="inlineStr">
        <is>
          <t>Lokal Handmade</t>
        </is>
      </c>
      <c r="F14" s="50" t="n">
        <v>150000</v>
      </c>
      <c r="G14" s="50" t="n">
        <v>120000</v>
      </c>
      <c r="H14" s="61" t="inlineStr">
        <is>
          <t>Done</t>
        </is>
      </c>
      <c r="I14" s="16" t="inlineStr">
        <is>
          <t>33 butir kristal cantik</t>
        </is>
      </c>
      <c r="L14" s="8" t="inlineStr">
        <is>
          <t>4. Bodycare &amp; Haircare</t>
        </is>
      </c>
      <c r="M14" s="50">
        <f>G34</f>
        <v/>
      </c>
    </row>
    <row r="15" ht="20" customHeight="1">
      <c r="B15" s="89" t="inlineStr">
        <is>
          <t>TOTAL 1. PERLENGKAPAN IBADAH</t>
        </is>
      </c>
      <c r="C15" s="6" t="n"/>
      <c r="D15" s="6" t="n"/>
      <c r="E15" s="6" t="n"/>
      <c r="F15" s="90">
        <f>SUM(F11:F14)</f>
        <v/>
      </c>
      <c r="G15" s="90">
        <f>SUM(G11:G14)</f>
        <v/>
      </c>
      <c r="H15" s="6" t="inlineStr"/>
      <c r="I15" s="6" t="inlineStr"/>
      <c r="L15" s="8" t="inlineStr">
        <is>
          <t>5. Makeup &amp; Kosmetik</t>
        </is>
      </c>
      <c r="M15" s="50">
        <f>G42</f>
        <v/>
      </c>
    </row>
    <row r="16" ht="20" customHeight="1">
      <c r="B16" s="15" t="n">
        <v>2</v>
      </c>
      <c r="C16" s="16" t="inlineStr">
        <is>
          <t>2. Pakaian &amp; Hijab</t>
        </is>
      </c>
      <c r="D16" s="16" t="inlineStr">
        <is>
          <t>Dress Pesta Silk Satin</t>
        </is>
      </c>
      <c r="E16" s="16" t="inlineStr">
        <is>
          <t>Zara</t>
        </is>
      </c>
      <c r="F16" s="50" t="n">
        <v>850000</v>
      </c>
      <c r="G16" s="50" t="n">
        <v>799000</v>
      </c>
      <c r="H16" s="61" t="inlineStr">
        <is>
          <t>Done</t>
        </is>
      </c>
      <c r="I16" s="16" t="inlineStr">
        <is>
          <t>Warna dusty rose ukuran M</t>
        </is>
      </c>
      <c r="L16" s="8" t="inlineStr">
        <is>
          <t>6. Tas, Sepatu &amp; Aksesoris</t>
        </is>
      </c>
      <c r="M16" s="50">
        <f>G47</f>
        <v/>
      </c>
    </row>
    <row r="17" ht="20" customHeight="1">
      <c r="B17" s="15" t="inlineStr"/>
      <c r="C17" s="16" t="inlineStr"/>
      <c r="D17" s="16" t="inlineStr">
        <is>
          <t>Setelan Gamis Modest</t>
        </is>
      </c>
      <c r="E17" s="16" t="inlineStr">
        <is>
          <t>Hijup</t>
        </is>
      </c>
      <c r="F17" s="50" t="n">
        <v>700000</v>
      </c>
      <c r="G17" s="50" t="n">
        <v>650000</v>
      </c>
      <c r="H17" s="61" t="inlineStr">
        <is>
          <t>Done</t>
        </is>
      </c>
      <c r="I17" s="16" t="inlineStr">
        <is>
          <t>Bahan flowy elegan</t>
        </is>
      </c>
      <c r="L17" s="8" t="inlineStr">
        <is>
          <t>7. Elektronik &amp; Styling Tools</t>
        </is>
      </c>
      <c r="M17" s="50">
        <f>G51</f>
        <v/>
      </c>
    </row>
    <row r="18" ht="20" customHeight="1">
      <c r="B18" s="15" t="inlineStr"/>
      <c r="C18" s="16" t="inlineStr"/>
      <c r="D18" s="16" t="inlineStr">
        <is>
          <t>Hijab Voal Ultrafine</t>
        </is>
      </c>
      <c r="E18" s="16" t="inlineStr">
        <is>
          <t>Buttonscarves</t>
        </is>
      </c>
      <c r="F18" s="50" t="n">
        <v>425000</v>
      </c>
      <c r="G18" s="50" t="n">
        <v>425000</v>
      </c>
      <c r="H18" s="61" t="inlineStr">
        <is>
          <t>Done</t>
        </is>
      </c>
      <c r="I18" s="16" t="inlineStr">
        <is>
          <t>Motif Monogram Series</t>
        </is>
      </c>
      <c r="L18" s="8" t="inlineStr">
        <is>
          <t>8. Paket Bedding &amp; Perlengkapan Kamar</t>
        </is>
      </c>
      <c r="M18" s="50">
        <f>G55</f>
        <v/>
      </c>
    </row>
    <row r="19" ht="20" customHeight="1">
      <c r="B19" s="15" t="inlineStr"/>
      <c r="C19" s="16" t="inlineStr"/>
      <c r="D19" s="16" t="inlineStr">
        <is>
          <t>Pashmina Silk Ceruty</t>
        </is>
      </c>
      <c r="E19" s="16" t="inlineStr">
        <is>
          <t>Elzatta</t>
        </is>
      </c>
      <c r="F19" s="50" t="n">
        <v>175000</v>
      </c>
      <c r="G19" s="50" t="n">
        <v>150000</v>
      </c>
      <c r="H19" s="61" t="inlineStr">
        <is>
          <t>Done</t>
        </is>
      </c>
      <c r="I19" s="16" t="inlineStr">
        <is>
          <t>Warna champagne nude</t>
        </is>
      </c>
    </row>
    <row r="20" ht="20" customHeight="1">
      <c r="B20" s="15" t="inlineStr"/>
      <c r="C20" s="16" t="inlineStr"/>
      <c r="D20" s="16" t="inlineStr">
        <is>
          <t>Set Baju Tidur Piyama Satin</t>
        </is>
      </c>
      <c r="E20" s="16" t="inlineStr">
        <is>
          <t>Sorex</t>
        </is>
      </c>
      <c r="F20" s="50" t="n">
        <v>250000</v>
      </c>
      <c r="G20" s="50" t="n">
        <v>220000</v>
      </c>
      <c r="H20" s="61" t="inlineStr">
        <is>
          <t>Done</t>
        </is>
      </c>
      <c r="I20" s="16" t="inlineStr">
        <is>
          <t>Model kimono tidur</t>
        </is>
      </c>
    </row>
    <row r="21" ht="22" customHeight="1">
      <c r="B21" s="89" t="inlineStr">
        <is>
          <t>TOTAL 2. PAKAIAN &amp; HIJAB</t>
        </is>
      </c>
      <c r="C21" s="6" t="n"/>
      <c r="D21" s="6" t="n"/>
      <c r="E21" s="6" t="n"/>
      <c r="F21" s="90">
        <f>SUM(F16:F20)</f>
        <v/>
      </c>
      <c r="G21" s="90">
        <f>SUM(G16:G20)</f>
        <v/>
      </c>
      <c r="H21" s="6" t="inlineStr"/>
      <c r="I21" s="6" t="inlineStr"/>
    </row>
    <row r="22" ht="20" customHeight="1">
      <c r="B22" s="15" t="n">
        <v>3</v>
      </c>
      <c r="C22" s="16" t="inlineStr">
        <is>
          <t>3. Skincare Routine</t>
        </is>
      </c>
      <c r="D22" s="16" t="inlineStr">
        <is>
          <t>Facial Wash Low pH Cleanser</t>
        </is>
      </c>
      <c r="E22" s="16" t="inlineStr">
        <is>
          <t>Skintific</t>
        </is>
      </c>
      <c r="F22" s="50" t="n">
        <v>120000</v>
      </c>
      <c r="G22" s="50" t="n">
        <v>99000</v>
      </c>
      <c r="H22" s="61" t="inlineStr">
        <is>
          <t>Done</t>
        </is>
      </c>
      <c r="I22" s="16" t="inlineStr">
        <is>
          <t>Gentle cleanser ceramide</t>
        </is>
      </c>
    </row>
    <row r="23" ht="20" customHeight="1">
      <c r="B23" s="15" t="inlineStr"/>
      <c r="C23" s="16" t="inlineStr"/>
      <c r="D23" s="16" t="inlineStr">
        <is>
          <t>Hydrating &amp; Soothing Toner</t>
        </is>
      </c>
      <c r="E23" s="16" t="inlineStr">
        <is>
          <t>Skintific</t>
        </is>
      </c>
      <c r="F23" s="50" t="n">
        <v>160000</v>
      </c>
      <c r="G23" s="50" t="n">
        <v>135000</v>
      </c>
      <c r="H23" s="61" t="inlineStr">
        <is>
          <t>Done</t>
        </is>
      </c>
      <c r="I23" s="16" t="inlineStr">
        <is>
          <t>Centella soothing toner</t>
        </is>
      </c>
    </row>
    <row r="24" ht="20" customHeight="1">
      <c r="B24" s="15" t="inlineStr"/>
      <c r="C24" s="16" t="inlineStr"/>
      <c r="D24" s="16" t="inlineStr">
        <is>
          <t>Moisturizer Gel 5X Ceramide</t>
        </is>
      </c>
      <c r="E24" s="16" t="inlineStr">
        <is>
          <t>The Originote</t>
        </is>
      </c>
      <c r="F24" s="50" t="n">
        <v>90000</v>
      </c>
      <c r="G24" s="50" t="n">
        <v>75000</v>
      </c>
      <c r="H24" s="61" t="inlineStr">
        <is>
          <t>Done</t>
        </is>
      </c>
      <c r="I24" s="16" t="inlineStr">
        <is>
          <t>Lock moisture 24 jam</t>
        </is>
      </c>
    </row>
    <row r="25" ht="20" customHeight="1">
      <c r="B25" s="15" t="inlineStr"/>
      <c r="C25" s="16" t="inlineStr"/>
      <c r="D25" s="16" t="inlineStr">
        <is>
          <t>Sunscreen SPF 50+ PA++++</t>
        </is>
      </c>
      <c r="E25" s="16" t="inlineStr">
        <is>
          <t>Azarine</t>
        </is>
      </c>
      <c r="F25" s="50" t="n">
        <v>110000</v>
      </c>
      <c r="G25" s="50" t="n">
        <v>89000</v>
      </c>
      <c r="H25" s="61" t="inlineStr">
        <is>
          <t>Done</t>
        </is>
      </c>
      <c r="I25" s="16" t="inlineStr">
        <is>
          <t>Hydrasoothe sun gel</t>
        </is>
      </c>
    </row>
    <row r="26" ht="20" customHeight="1">
      <c r="B26" s="15" t="inlineStr"/>
      <c r="C26" s="16" t="inlineStr"/>
      <c r="D26" s="16" t="inlineStr">
        <is>
          <t>Brightening Glow Serum</t>
        </is>
      </c>
      <c r="E26" s="16" t="inlineStr">
        <is>
          <t>Avoskin</t>
        </is>
      </c>
      <c r="F26" s="50" t="n">
        <v>170000</v>
      </c>
      <c r="G26" s="50" t="n">
        <v>145000</v>
      </c>
      <c r="H26" s="61" t="inlineStr">
        <is>
          <t>Done</t>
        </is>
      </c>
      <c r="I26" s="16" t="inlineStr">
        <is>
          <t>Miraculous refining serum</t>
        </is>
      </c>
    </row>
    <row r="27" ht="22" customHeight="1">
      <c r="B27" s="89" t="inlineStr">
        <is>
          <t>TOTAL 3. SKINCARE ROUTINE</t>
        </is>
      </c>
      <c r="C27" s="6" t="n"/>
      <c r="D27" s="6" t="n"/>
      <c r="E27" s="6" t="n"/>
      <c r="F27" s="90">
        <f>SUM(F22:F26)</f>
        <v/>
      </c>
      <c r="G27" s="90">
        <f>SUM(G22:G26)</f>
        <v/>
      </c>
      <c r="H27" s="6" t="inlineStr"/>
      <c r="I27" s="6" t="inlineStr"/>
    </row>
    <row r="28" ht="20" customHeight="1">
      <c r="B28" s="15" t="n">
        <v>4</v>
      </c>
      <c r="C28" s="16" t="inlineStr">
        <is>
          <t>4. Bodycare &amp; Haircare</t>
        </is>
      </c>
      <c r="D28" s="16" t="inlineStr">
        <is>
          <t>Body Lotion Gluta-Hya Flawless</t>
        </is>
      </c>
      <c r="E28" s="16" t="inlineStr">
        <is>
          <t>Vaseline</t>
        </is>
      </c>
      <c r="F28" s="50" t="n">
        <v>95000</v>
      </c>
      <c r="G28" s="50" t="n">
        <v>80000</v>
      </c>
      <c r="H28" s="61" t="inlineStr">
        <is>
          <t>Done</t>
        </is>
      </c>
      <c r="I28" s="16" t="inlineStr">
        <is>
          <t>Serum burst UV lotion</t>
        </is>
      </c>
    </row>
    <row r="29" ht="20" customHeight="1">
      <c r="B29" s="15" t="inlineStr"/>
      <c r="C29" s="16" t="inlineStr"/>
      <c r="D29" s="16" t="inlineStr">
        <is>
          <t>Goat Milk Shower Body Wash</t>
        </is>
      </c>
      <c r="E29" s="16" t="inlineStr">
        <is>
          <t>The Bath Box</t>
        </is>
      </c>
      <c r="F29" s="50" t="n">
        <v>160000</v>
      </c>
      <c r="G29" s="50" t="n">
        <v>145000</v>
      </c>
      <c r="H29" s="61" t="inlineStr">
        <is>
          <t>Done</t>
        </is>
      </c>
      <c r="I29" s="16" t="inlineStr">
        <is>
          <t>Aroma almond vanilla</t>
        </is>
      </c>
    </row>
    <row r="30" ht="20" customHeight="1">
      <c r="B30" s="15" t="inlineStr"/>
      <c r="C30" s="16" t="inlineStr"/>
      <c r="D30" s="16" t="inlineStr">
        <is>
          <t>Shampoo Extraordinary Oil</t>
        </is>
      </c>
      <c r="E30" s="16" t="inlineStr">
        <is>
          <t>L'Oreal</t>
        </is>
      </c>
      <c r="F30" s="50" t="n">
        <v>140000</v>
      </c>
      <c r="G30" s="50" t="n">
        <v>125000</v>
      </c>
      <c r="H30" s="61" t="inlineStr">
        <is>
          <t>Done</t>
        </is>
      </c>
      <c r="I30" s="16" t="inlineStr">
        <is>
          <t>Untuk rambut berkilau</t>
        </is>
      </c>
    </row>
    <row r="31" ht="20" customHeight="1">
      <c r="B31" s="15" t="inlineStr"/>
      <c r="C31" s="16" t="inlineStr"/>
      <c r="D31" s="16" t="inlineStr">
        <is>
          <t>Conditioner Total Repair 5</t>
        </is>
      </c>
      <c r="E31" s="16" t="inlineStr">
        <is>
          <t>L'Oreal</t>
        </is>
      </c>
      <c r="F31" s="50" t="n">
        <v>150000</v>
      </c>
      <c r="G31" s="50" t="n">
        <v>135000</v>
      </c>
      <c r="H31" s="61" t="inlineStr">
        <is>
          <t>Done</t>
        </is>
      </c>
      <c r="I31" s="16" t="inlineStr">
        <is>
          <t>Melembutkan rambut</t>
        </is>
      </c>
    </row>
    <row r="32" ht="20" customHeight="1">
      <c r="B32" s="15" t="inlineStr"/>
      <c r="C32" s="16" t="inlineStr"/>
      <c r="D32" s="16" t="inlineStr">
        <is>
          <t>Hair Creambath Mask Nutritive</t>
        </is>
      </c>
      <c r="E32" s="16" t="inlineStr">
        <is>
          <t>Makarizo</t>
        </is>
      </c>
      <c r="F32" s="50" t="n">
        <v>110000</v>
      </c>
      <c r="G32" s="50" t="n">
        <v>95000</v>
      </c>
      <c r="H32" s="61" t="inlineStr">
        <is>
          <t>Done</t>
        </is>
      </c>
      <c r="I32" s="16" t="inlineStr">
        <is>
          <t>Kandungan royal jelly</t>
        </is>
      </c>
    </row>
    <row r="33" ht="20" customHeight="1">
      <c r="B33" s="15" t="inlineStr"/>
      <c r="C33" s="16" t="inlineStr"/>
      <c r="D33" s="16" t="inlineStr">
        <is>
          <t>Eau De Parfum 100ml</t>
        </is>
      </c>
      <c r="E33" s="16" t="inlineStr">
        <is>
          <t>HMNS (Orgasm)</t>
        </is>
      </c>
      <c r="F33" s="50" t="n">
        <v>380000</v>
      </c>
      <c r="G33" s="50" t="n">
        <v>375000</v>
      </c>
      <c r="H33" s="61" t="inlineStr">
        <is>
          <t>Done</t>
        </is>
      </c>
      <c r="I33" s="16" t="inlineStr">
        <is>
          <t>Aroma vanila mawar mewah</t>
        </is>
      </c>
    </row>
    <row r="34" ht="22" customHeight="1">
      <c r="B34" s="89" t="inlineStr">
        <is>
          <t>TOTAL 4. BODYCARE &amp; HAIRCARE</t>
        </is>
      </c>
      <c r="C34" s="6" t="n"/>
      <c r="D34" s="6" t="n"/>
      <c r="E34" s="6" t="n"/>
      <c r="F34" s="90">
        <f>SUM(F28:F33)</f>
        <v/>
      </c>
      <c r="G34" s="90">
        <f>SUM(G28:G33)</f>
        <v/>
      </c>
      <c r="H34" s="6" t="inlineStr"/>
      <c r="I34" s="6" t="inlineStr"/>
    </row>
    <row r="35" ht="20" customHeight="1">
      <c r="B35" s="15" t="n">
        <v>5</v>
      </c>
      <c r="C35" s="16" t="inlineStr">
        <is>
          <t>5. Makeup &amp; Kosmetik</t>
        </is>
      </c>
      <c r="D35" s="16" t="inlineStr">
        <is>
          <t>Cushion Copy Paste SPF 35</t>
        </is>
      </c>
      <c r="E35" s="16" t="inlineStr">
        <is>
          <t>Somethinc</t>
        </is>
      </c>
      <c r="F35" s="50" t="n">
        <v>220000</v>
      </c>
      <c r="G35" s="50" t="n">
        <v>189000</v>
      </c>
      <c r="H35" s="61" t="inlineStr">
        <is>
          <t>Done</t>
        </is>
      </c>
      <c r="I35" s="16" t="inlineStr">
        <is>
          <t>Shade Buttercream medium</t>
        </is>
      </c>
    </row>
    <row r="36" ht="20" customHeight="1">
      <c r="B36" s="15" t="inlineStr"/>
      <c r="C36" s="16" t="inlineStr"/>
      <c r="D36" s="16" t="inlineStr">
        <is>
          <t>Loose Powder Silky Smooth</t>
        </is>
      </c>
      <c r="E36" s="16" t="inlineStr">
        <is>
          <t>Make Over</t>
        </is>
      </c>
      <c r="F36" s="50" t="n">
        <v>145000</v>
      </c>
      <c r="G36" s="50" t="n">
        <v>125000</v>
      </c>
      <c r="H36" s="61" t="inlineStr">
        <is>
          <t>Done</t>
        </is>
      </c>
      <c r="I36" s="16" t="inlineStr">
        <is>
          <t>Matte finish natural</t>
        </is>
      </c>
    </row>
    <row r="37" ht="20" customHeight="1">
      <c r="B37" s="15" t="inlineStr"/>
      <c r="C37" s="16" t="inlineStr"/>
      <c r="D37" s="16" t="inlineStr">
        <is>
          <t>Eyeshadow Palette Goddess</t>
        </is>
      </c>
      <c r="E37" s="16" t="inlineStr">
        <is>
          <t>ESQA</t>
        </is>
      </c>
      <c r="F37" s="50" t="n">
        <v>260000</v>
      </c>
      <c r="G37" s="50" t="n">
        <v>230000</v>
      </c>
      <c r="H37" s="61" t="inlineStr">
        <is>
          <t>Done</t>
        </is>
      </c>
      <c r="I37" s="16" t="inlineStr">
        <is>
          <t>9 warna shimmer &amp; earthy tone</t>
        </is>
      </c>
    </row>
    <row r="38" ht="20" customHeight="1">
      <c r="B38" s="15" t="inlineStr"/>
      <c r="C38" s="16" t="inlineStr"/>
      <c r="D38" s="16" t="inlineStr">
        <is>
          <t>Blush On Cheek Souffle</t>
        </is>
      </c>
      <c r="E38" s="16" t="inlineStr">
        <is>
          <t>Rollover Reaction</t>
        </is>
      </c>
      <c r="F38" s="50" t="n">
        <v>140000</v>
      </c>
      <c r="G38" s="50" t="n">
        <v>120000</v>
      </c>
      <c r="H38" s="61" t="inlineStr">
        <is>
          <t>Done</t>
        </is>
      </c>
      <c r="I38" s="16" t="inlineStr">
        <is>
          <t>Warna peach blush</t>
        </is>
      </c>
    </row>
    <row r="39" ht="20" customHeight="1">
      <c r="B39" s="15" t="inlineStr"/>
      <c r="C39" s="16" t="inlineStr"/>
      <c r="D39" s="16" t="inlineStr">
        <is>
          <t>Sky High Waterproof Mascara</t>
        </is>
      </c>
      <c r="E39" s="16" t="inlineStr">
        <is>
          <t>Maybelline</t>
        </is>
      </c>
      <c r="F39" s="50" t="n">
        <v>150000</v>
      </c>
      <c r="G39" s="50" t="n">
        <v>135000</v>
      </c>
      <c r="H39" s="61" t="inlineStr">
        <is>
          <t>Done</t>
        </is>
      </c>
      <c r="I39" s="16" t="inlineStr">
        <is>
          <t>Melentikkan tahan 24 jam</t>
        </is>
      </c>
    </row>
    <row r="40" ht="20" customHeight="1">
      <c r="B40" s="15" t="inlineStr"/>
      <c r="C40" s="16" t="inlineStr"/>
      <c r="D40" s="16" t="inlineStr">
        <is>
          <t>Lip Tint Velvet Mousse</t>
        </is>
      </c>
      <c r="E40" s="16" t="inlineStr">
        <is>
          <t>Dear Me Beauty</t>
        </is>
      </c>
      <c r="F40" s="50" t="n">
        <v>120000</v>
      </c>
      <c r="G40" s="50" t="n">
        <v>99000</v>
      </c>
      <c r="H40" s="61" t="inlineStr">
        <is>
          <t>Done</t>
        </is>
      </c>
      <c r="I40" s="16" t="inlineStr">
        <is>
          <t>Warna Dear Amanda</t>
        </is>
      </c>
    </row>
    <row r="41" ht="20" customHeight="1">
      <c r="B41" s="15" t="inlineStr"/>
      <c r="C41" s="16" t="inlineStr"/>
      <c r="D41" s="16" t="inlineStr">
        <is>
          <t>Setting Spray Lock Makeup</t>
        </is>
      </c>
      <c r="E41" s="16" t="inlineStr">
        <is>
          <t>Studio Tropik</t>
        </is>
      </c>
      <c r="F41" s="50" t="n">
        <v>130000</v>
      </c>
      <c r="G41" s="50" t="n">
        <v>115000</v>
      </c>
      <c r="H41" s="61" t="inlineStr">
        <is>
          <t>Done</t>
        </is>
      </c>
      <c r="I41" s="16" t="inlineStr">
        <is>
          <t>DreamSetter glowing spray</t>
        </is>
      </c>
    </row>
    <row r="42" ht="22" customHeight="1">
      <c r="B42" s="89" t="inlineStr">
        <is>
          <t>TOTAL 5. MAKEUP &amp; KOSMETIK</t>
        </is>
      </c>
      <c r="C42" s="6" t="n"/>
      <c r="D42" s="6" t="n"/>
      <c r="E42" s="6" t="n"/>
      <c r="F42" s="90">
        <f>SUM(F35:F41)</f>
        <v/>
      </c>
      <c r="G42" s="90">
        <f>SUM(G35:G41)</f>
        <v/>
      </c>
      <c r="H42" s="6" t="inlineStr"/>
      <c r="I42" s="6" t="inlineStr"/>
    </row>
    <row r="43" ht="20" customHeight="1">
      <c r="B43" s="15" t="n">
        <v>6</v>
      </c>
      <c r="C43" s="16" t="inlineStr">
        <is>
          <t>6. Tas, Sepatu &amp; Aksesoris</t>
        </is>
      </c>
      <c r="D43" s="16" t="inlineStr">
        <is>
          <t>Quilted Tweed Shoulder Bag</t>
        </is>
      </c>
      <c r="E43" s="16" t="inlineStr">
        <is>
          <t>Charles &amp; Keith</t>
        </is>
      </c>
      <c r="F43" s="50" t="n">
        <v>1200000</v>
      </c>
      <c r="G43" s="50" t="n">
        <v>1150000</v>
      </c>
      <c r="H43" s="61" t="inlineStr">
        <is>
          <t>Done</t>
        </is>
      </c>
      <c r="I43" s="16" t="inlineStr">
        <is>
          <t>Tas selempang elegan</t>
        </is>
      </c>
    </row>
    <row r="44" ht="20" customHeight="1">
      <c r="B44" s="15" t="inlineStr"/>
      <c r="C44" s="16" t="inlineStr"/>
      <c r="D44" s="16" t="inlineStr">
        <is>
          <t>Pointed Toe Flats Shoes</t>
        </is>
      </c>
      <c r="E44" s="16" t="inlineStr">
        <is>
          <t>Pedro</t>
        </is>
      </c>
      <c r="F44" s="50" t="n">
        <v>950000</v>
      </c>
      <c r="G44" s="50" t="n">
        <v>899000</v>
      </c>
      <c r="H44" s="61" t="inlineStr">
        <is>
          <t>Done</t>
        </is>
      </c>
      <c r="I44" s="16" t="inlineStr">
        <is>
          <t>Warna cream size 38</t>
        </is>
      </c>
    </row>
    <row r="45" ht="20" customHeight="1">
      <c r="B45" s="15" t="inlineStr"/>
      <c r="C45" s="16" t="inlineStr"/>
      <c r="D45" s="16" t="inlineStr">
        <is>
          <t>Jam Tangan Petite Rose Gold</t>
        </is>
      </c>
      <c r="E45" s="16" t="inlineStr">
        <is>
          <t>Daniel Wellington</t>
        </is>
      </c>
      <c r="F45" s="50" t="n">
        <v>2200000</v>
      </c>
      <c r="G45" s="50" t="n">
        <v>2050000</v>
      </c>
      <c r="H45" s="61" t="inlineStr">
        <is>
          <t>Done</t>
        </is>
      </c>
      <c r="I45" s="16" t="inlineStr">
        <is>
          <t>Dial putih mesh strap</t>
        </is>
      </c>
    </row>
    <row r="46" ht="20" customHeight="1">
      <c r="B46" s="15" t="inlineStr"/>
      <c r="C46" s="16" t="inlineStr"/>
      <c r="D46" s="16" t="inlineStr">
        <is>
          <t>Dompet Lipat Kulit Mini</t>
        </is>
      </c>
      <c r="E46" s="16" t="inlineStr">
        <is>
          <t>Fossil</t>
        </is>
      </c>
      <c r="F46" s="50" t="n">
        <v>650000</v>
      </c>
      <c r="G46" s="50" t="n">
        <v>580000</v>
      </c>
      <c r="H46" s="61" t="inlineStr">
        <is>
          <t>Done</t>
        </is>
      </c>
      <c r="I46" s="16" t="inlineStr">
        <is>
          <t>Bahan leather soft rose</t>
        </is>
      </c>
    </row>
    <row r="47" ht="22" customHeight="1">
      <c r="B47" s="89" t="inlineStr">
        <is>
          <t>TOTAL 6. TAS, SEPATU &amp; AKSESORIS</t>
        </is>
      </c>
      <c r="C47" s="6" t="n"/>
      <c r="D47" s="6" t="n"/>
      <c r="E47" s="6" t="n"/>
      <c r="F47" s="90">
        <f>SUM(F43:F46)</f>
        <v/>
      </c>
      <c r="G47" s="90">
        <f>SUM(G43:G46)</f>
        <v/>
      </c>
      <c r="H47" s="6" t="inlineStr"/>
      <c r="I47" s="6" t="inlineStr"/>
    </row>
    <row r="48" ht="20" customHeight="1">
      <c r="B48" s="15" t="n">
        <v>7</v>
      </c>
      <c r="C48" s="16" t="inlineStr">
        <is>
          <t>7. Elektronik &amp; Styling Tools</t>
        </is>
      </c>
      <c r="D48" s="16" t="inlineStr">
        <is>
          <t>Hair Dryer Fast Dry Ionic</t>
        </is>
      </c>
      <c r="E48" s="16" t="inlineStr">
        <is>
          <t>Philips</t>
        </is>
      </c>
      <c r="F48" s="50" t="n">
        <v>450000</v>
      </c>
      <c r="G48" s="50" t="n">
        <v>399000</v>
      </c>
      <c r="H48" s="61" t="inlineStr">
        <is>
          <t>Done</t>
        </is>
      </c>
      <c r="I48" s="16" t="inlineStr">
        <is>
          <t>Teknologi pelindung panas</t>
        </is>
      </c>
    </row>
    <row r="49" ht="20" customHeight="1">
      <c r="B49" s="15" t="inlineStr"/>
      <c r="C49" s="16" t="inlineStr"/>
      <c r="D49" s="16" t="inlineStr">
        <is>
          <t>Catokan Pelurus Keratin Therapy</t>
        </is>
      </c>
      <c r="E49" s="16" t="inlineStr">
        <is>
          <t>Remington</t>
        </is>
      </c>
      <c r="F49" s="50" t="n">
        <v>750000</v>
      </c>
      <c r="G49" s="50" t="n">
        <v>680000</v>
      </c>
      <c r="H49" s="61" t="inlineStr">
        <is>
          <t>Done</t>
        </is>
      </c>
      <c r="I49" s="16" t="inlineStr">
        <is>
          <t>Plat keramik keratin</t>
        </is>
      </c>
    </row>
    <row r="50" ht="20" customHeight="1">
      <c r="B50" s="15" t="inlineStr"/>
      <c r="C50" s="16" t="inlineStr"/>
      <c r="D50" s="16" t="inlineStr">
        <is>
          <t>Pembersih Wajah Silikon Sonic</t>
        </is>
      </c>
      <c r="E50" s="16" t="inlineStr">
        <is>
          <t>InFace / Foreo</t>
        </is>
      </c>
      <c r="F50" s="50" t="n">
        <v>280000</v>
      </c>
      <c r="G50" s="50" t="n">
        <v>240000</v>
      </c>
      <c r="H50" s="61" t="inlineStr">
        <is>
          <t>Done</t>
        </is>
      </c>
      <c r="I50" s="16" t="inlineStr">
        <is>
          <t>Waterproof vibrating brush</t>
        </is>
      </c>
    </row>
    <row r="51" ht="22" customHeight="1">
      <c r="B51" s="89" t="inlineStr">
        <is>
          <t>TOTAL 7. ELEKTRONIK &amp; STYLING TOOLS</t>
        </is>
      </c>
      <c r="C51" s="6" t="n"/>
      <c r="D51" s="6" t="n"/>
      <c r="E51" s="6" t="n"/>
      <c r="F51" s="90">
        <f>SUM(F48:F50)</f>
        <v/>
      </c>
      <c r="G51" s="90">
        <f>SUM(G48:G50)</f>
        <v/>
      </c>
      <c r="H51" s="6" t="inlineStr"/>
      <c r="I51" s="6" t="inlineStr"/>
    </row>
    <row r="52" ht="20" customHeight="1">
      <c r="B52" s="15" t="n">
        <v>8</v>
      </c>
      <c r="C52" s="16" t="inlineStr">
        <is>
          <t>8. Paket Bedding &amp; Perlengkapan Kamar</t>
        </is>
      </c>
      <c r="D52" s="16" t="inlineStr">
        <is>
          <t>Bedcover Set King Size Tencel</t>
        </is>
      </c>
      <c r="E52" s="16" t="inlineStr">
        <is>
          <t>Kintakun Jacquard</t>
        </is>
      </c>
      <c r="F52" s="50" t="n">
        <v>950000</v>
      </c>
      <c r="G52" s="50" t="n">
        <v>890000</v>
      </c>
      <c r="H52" s="61" t="inlineStr">
        <is>
          <t>Done</t>
        </is>
      </c>
      <c r="I52" s="16" t="inlineStr">
        <is>
          <t>Sprei 180x200 tencel luxury</t>
        </is>
      </c>
    </row>
    <row r="53" ht="20" customHeight="1">
      <c r="B53" s="15" t="inlineStr"/>
      <c r="C53" s="16" t="inlineStr"/>
      <c r="D53" s="16" t="inlineStr">
        <is>
          <t>Scented Candle Aromatherapy</t>
        </is>
      </c>
      <c r="E53" s="16" t="inlineStr">
        <is>
          <t>Bath &amp; Body Works</t>
        </is>
      </c>
      <c r="F53" s="50" t="n">
        <v>350000</v>
      </c>
      <c r="G53" s="50" t="n">
        <v>300000</v>
      </c>
      <c r="H53" s="61" t="inlineStr">
        <is>
          <t>Done</t>
        </is>
      </c>
      <c r="I53" s="16" t="inlineStr">
        <is>
          <t>Aroma Japanese Cherry</t>
        </is>
      </c>
    </row>
    <row r="54" ht="20" customHeight="1">
      <c r="B54" s="15" t="inlineStr"/>
      <c r="C54" s="16" t="inlineStr"/>
      <c r="D54" s="16" t="inlineStr">
        <is>
          <t>Bathrobe Couple Waffle Cotton</t>
        </is>
      </c>
      <c r="E54" s="16" t="inlineStr">
        <is>
          <t>Lokal Craft</t>
        </is>
      </c>
      <c r="F54" s="50" t="n">
        <v>300000</v>
      </c>
      <c r="G54" s="50" t="n">
        <v>280000</v>
      </c>
      <c r="H54" s="61" t="inlineStr">
        <is>
          <t>Done</t>
        </is>
      </c>
      <c r="I54" s="16" t="inlineStr">
        <is>
          <t>Bordir Mr &amp; Mrs</t>
        </is>
      </c>
    </row>
    <row r="55" ht="22" customHeight="1">
      <c r="B55" s="89" t="inlineStr">
        <is>
          <t>TOTAL 8. PAKET BEDDING &amp; PERLENGKAPAN KAMAR</t>
        </is>
      </c>
      <c r="C55" s="6" t="n"/>
      <c r="D55" s="6" t="n"/>
      <c r="E55" s="6" t="n"/>
      <c r="F55" s="90">
        <f>SUM(F52:F54)</f>
        <v/>
      </c>
      <c r="G55" s="90">
        <f>SUM(G52:G54)</f>
        <v/>
      </c>
      <c r="H55" s="6" t="inlineStr"/>
      <c r="I55" s="6" t="inlineStr"/>
    </row>
    <row r="56" ht="24" customHeight="1">
      <c r="B56" s="53" t="inlineStr">
        <is>
          <t>TOTAL KESELURUHAN SESERAHAN</t>
        </is>
      </c>
      <c r="C56" s="54" t="n"/>
      <c r="D56" s="54" t="n"/>
      <c r="E56" s="54" t="n"/>
      <c r="F56" s="55">
        <f>F15+F21+F27+F34+F42+F47+F51+F55</f>
        <v/>
      </c>
      <c r="G56" s="55">
        <f>G15+G21+G27+G34+G42+G47+G51+G55</f>
        <v/>
      </c>
      <c r="H56" s="54" t="n"/>
      <c r="I56" s="54" t="n"/>
    </row>
  </sheetData>
  <mergeCells count="21">
    <mergeCell ref="H6:H7"/>
    <mergeCell ref="B15:E15"/>
    <mergeCell ref="B6:C7"/>
    <mergeCell ref="B55:E55"/>
    <mergeCell ref="B51:E51"/>
    <mergeCell ref="H5"/>
    <mergeCell ref="F5:G5"/>
    <mergeCell ref="B47:E47"/>
    <mergeCell ref="B27:E27"/>
    <mergeCell ref="B56:E56"/>
    <mergeCell ref="I6:J7"/>
    <mergeCell ref="B21:E21"/>
    <mergeCell ref="D6:E7"/>
    <mergeCell ref="I5:J5"/>
    <mergeCell ref="F6:G7"/>
    <mergeCell ref="B42:E42"/>
    <mergeCell ref="B3:J3"/>
    <mergeCell ref="B5:C5"/>
    <mergeCell ref="D5:E5"/>
    <mergeCell ref="B34:E34"/>
    <mergeCell ref="B2:J2"/>
  </mergeCells>
  <dataValidations count="1">
    <dataValidation sqref="H11:H55" showDropDown="0" showInputMessage="0" showErrorMessage="0" allowBlank="1" type="list">
      <formula1>"Done,Process,Order,Pending"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6651A6"/>
    <outlinePr summaryBelow="1" summaryRight="1"/>
    <pageSetUpPr/>
  </sheetPr>
  <dimension ref="B2:J3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20" customWidth="1" min="3" max="3"/>
    <col width="15" customWidth="1" min="4" max="4"/>
    <col width="15" customWidth="1" min="5" max="5"/>
    <col width="18" customWidth="1" min="6" max="6"/>
    <col width="16" customWidth="1" min="7" max="7"/>
    <col width="20" customWidth="1" min="8" max="8"/>
    <col width="20" customWidth="1" min="9" max="9"/>
    <col width="25" customWidth="1" min="10" max="10"/>
  </cols>
  <sheetData>
    <row r="2" ht="36" customHeight="1">
      <c r="B2" s="1" t="inlineStr">
        <is>
          <t xml:space="preserve">  ADMINISTRASI PERSIAPAN PERNIKAHAN  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 ht="20" customHeight="1">
      <c r="B3" s="3" t="inlineStr">
        <is>
          <t xml:space="preserve">  Panduan kelengkapan berkas resmi KUA/Catatan Sipil dan alur birokrasi pendaftaran.  </t>
        </is>
      </c>
      <c r="C3" s="4" t="n"/>
      <c r="D3" s="4" t="n"/>
      <c r="E3" s="4" t="n"/>
      <c r="F3" s="4" t="n"/>
      <c r="G3" s="4" t="n"/>
      <c r="H3" s="4" t="n"/>
      <c r="I3" s="4" t="n"/>
      <c r="J3" s="4" t="n"/>
    </row>
    <row r="5" ht="28" customHeight="1">
      <c r="B5" s="5" t="inlineStr">
        <is>
          <t>📑  SYARAT DOKUMEN CALON PENGANTIN (WANITA &amp; PRIA)</t>
        </is>
      </c>
      <c r="C5" s="6" t="n"/>
      <c r="D5" s="6" t="n"/>
      <c r="E5" s="6" t="n"/>
      <c r="F5" s="6" t="n"/>
      <c r="G5" s="6" t="n"/>
      <c r="H5" s="6" t="n"/>
      <c r="I5" s="6" t="n"/>
      <c r="J5" s="6" t="n"/>
    </row>
    <row r="6" ht="24" customHeight="1">
      <c r="B6" s="38" t="inlineStr">
        <is>
          <t>NO</t>
        </is>
      </c>
      <c r="C6" s="39" t="inlineStr">
        <is>
          <t>SYARAT / DOKUMEN PERSYARATAN</t>
        </is>
      </c>
      <c r="D6" s="40" t="n"/>
      <c r="E6" s="40" t="n"/>
      <c r="F6" s="47" t="inlineStr">
        <is>
          <t>ESTIMASI BIAYA</t>
        </is>
      </c>
      <c r="G6" s="38" t="inlineStr">
        <is>
          <t>STATUS BERKAS</t>
        </is>
      </c>
      <c r="H6" s="39" t="inlineStr">
        <is>
          <t>CATATAN / KETERANGAN PRAKTIS</t>
        </is>
      </c>
      <c r="I6" s="40" t="n"/>
      <c r="J6" s="40" t="n"/>
    </row>
    <row r="7" ht="20" customHeight="1">
      <c r="B7" s="15" t="n">
        <v>1</v>
      </c>
      <c r="C7" s="16" t="inlineStr">
        <is>
          <t>Surat pengantar nikah dari RT / RW setempat (CPW &amp; CPP)</t>
        </is>
      </c>
      <c r="D7" s="8" t="n"/>
      <c r="E7" s="8" t="n"/>
      <c r="F7" s="50" t="n">
        <v>0</v>
      </c>
      <c r="G7" s="61" t="inlineStr">
        <is>
          <t>Selesai</t>
        </is>
      </c>
      <c r="H7" s="16" t="inlineStr">
        <is>
          <t>Bawa fotokopi KTP dan KK asli untuk pengantar</t>
        </is>
      </c>
      <c r="I7" s="8" t="n"/>
      <c r="J7" s="8" t="n"/>
    </row>
    <row r="8" ht="20" customHeight="1">
      <c r="B8" s="19" t="n">
        <v>2</v>
      </c>
      <c r="C8" s="20" t="inlineStr">
        <is>
          <t>Surat keterangan nikah dari Kelurahan (Model N1 s/d N4)</t>
        </is>
      </c>
      <c r="D8" s="23" t="n"/>
      <c r="E8" s="23" t="n"/>
      <c r="F8" s="52" t="n">
        <v>0</v>
      </c>
      <c r="G8" s="67" t="inlineStr">
        <is>
          <t>Selesai</t>
        </is>
      </c>
      <c r="H8" s="20" t="inlineStr">
        <is>
          <t>Diurus di kantor kelurahan domisili</t>
        </is>
      </c>
      <c r="I8" s="23" t="n"/>
      <c r="J8" s="23" t="n"/>
    </row>
    <row r="9" ht="20" customHeight="1">
      <c r="B9" s="15" t="n">
        <v>3</v>
      </c>
      <c r="C9" s="16" t="inlineStr">
        <is>
          <t>Fotokopi KTP kedua calon pengantin (masing-masing 4 lembar)</t>
        </is>
      </c>
      <c r="D9" s="8" t="n"/>
      <c r="E9" s="8" t="n"/>
      <c r="F9" s="50" t="n">
        <v>10000</v>
      </c>
      <c r="G9" s="61" t="inlineStr">
        <is>
          <t>Selesai</t>
        </is>
      </c>
      <c r="H9" s="16" t="inlineStr">
        <is>
          <t>Fotokopi jelas tidak buram</t>
        </is>
      </c>
      <c r="I9" s="8" t="n"/>
      <c r="J9" s="8" t="n"/>
    </row>
    <row r="10" ht="20" customHeight="1">
      <c r="B10" s="19" t="n">
        <v>4</v>
      </c>
      <c r="C10" s="20" t="inlineStr">
        <is>
          <t>Fotokopi Kartu Keluarga (KK) kedua calon pengantin</t>
        </is>
      </c>
      <c r="D10" s="23" t="n"/>
      <c r="E10" s="23" t="n"/>
      <c r="F10" s="52" t="n">
        <v>5000</v>
      </c>
      <c r="G10" s="67" t="inlineStr">
        <is>
          <t>Selesai</t>
        </is>
      </c>
      <c r="H10" s="20" t="inlineStr">
        <is>
          <t>Data alamat harus sesuai dengan KTP</t>
        </is>
      </c>
      <c r="I10" s="23" t="n"/>
      <c r="J10" s="23" t="n"/>
    </row>
    <row r="11" ht="20" customHeight="1">
      <c r="B11" s="15" t="n">
        <v>5</v>
      </c>
      <c r="C11" s="16" t="inlineStr">
        <is>
          <t>Fotokopi Akta Kelahiran kedua calon pengantin</t>
        </is>
      </c>
      <c r="D11" s="8" t="n"/>
      <c r="E11" s="8" t="n"/>
      <c r="F11" s="50" t="n">
        <v>5000</v>
      </c>
      <c r="G11" s="61" t="inlineStr">
        <is>
          <t>Selesai</t>
        </is>
      </c>
      <c r="H11" s="16" t="inlineStr">
        <is>
          <t>Untuk verifikasi nama orang tua</t>
        </is>
      </c>
      <c r="I11" s="8" t="n"/>
      <c r="J11" s="8" t="n"/>
    </row>
    <row r="12" ht="20" customHeight="1">
      <c r="B12" s="19" t="n">
        <v>6</v>
      </c>
      <c r="C12" s="20" t="inlineStr">
        <is>
          <t>Fotokopi Ijazah terakhir kedua calon pengantin</t>
        </is>
      </c>
      <c r="D12" s="23" t="n"/>
      <c r="E12" s="23" t="n"/>
      <c r="F12" s="52" t="n">
        <v>10000</v>
      </c>
      <c r="G12" s="67" t="inlineStr">
        <is>
          <t>Selesai</t>
        </is>
      </c>
      <c r="H12" s="20" t="inlineStr">
        <is>
          <t>Menyelaraskan ejaan nama di buku nikah</t>
        </is>
      </c>
      <c r="I12" s="23" t="n"/>
      <c r="J12" s="23" t="n"/>
    </row>
    <row r="13" ht="20" customHeight="1">
      <c r="B13" s="15" t="n">
        <v>7</v>
      </c>
      <c r="C13" s="16" t="inlineStr">
        <is>
          <t>Pas foto 2x3 (4 lbr) &amp; 4x6 (2 lbr) latar belakang warna biru</t>
        </is>
      </c>
      <c r="D13" s="8" t="n"/>
      <c r="E13" s="8" t="n"/>
      <c r="F13" s="50" t="n">
        <v>150000</v>
      </c>
      <c r="G13" s="61" t="inlineStr">
        <is>
          <t>Selesai</t>
        </is>
      </c>
      <c r="H13" s="16" t="inlineStr">
        <is>
          <t>Baju berkerah rapi / jas, cetak doff studio</t>
        </is>
      </c>
      <c r="I13" s="8" t="n"/>
      <c r="J13" s="8" t="n"/>
    </row>
    <row r="14" ht="20" customHeight="1">
      <c r="B14" s="19" t="n">
        <v>8</v>
      </c>
      <c r="C14" s="20" t="inlineStr">
        <is>
          <t>Surat keterangan sehat pranikah dari Puskesmas setempat</t>
        </is>
      </c>
      <c r="D14" s="23" t="n"/>
      <c r="E14" s="23" t="n"/>
      <c r="F14" s="52" t="n">
        <v>200000</v>
      </c>
      <c r="G14" s="67" t="inlineStr">
        <is>
          <t>Selesai</t>
        </is>
      </c>
      <c r="H14" s="20" t="inlineStr">
        <is>
          <t>Cek lab darah, hemoglobin, dan imunisasi TT wanita</t>
        </is>
      </c>
      <c r="I14" s="23" t="n"/>
      <c r="J14" s="23" t="n"/>
    </row>
    <row r="15" ht="20" customHeight="1">
      <c r="B15" s="15" t="n">
        <v>9</v>
      </c>
      <c r="C15" s="16" t="inlineStr">
        <is>
          <t>Persetujuan kedua calon pengantin (Formulir Model N7)</t>
        </is>
      </c>
      <c r="D15" s="8" t="n"/>
      <c r="E15" s="8" t="n"/>
      <c r="F15" s="50" t="n">
        <v>0</v>
      </c>
      <c r="G15" s="61" t="inlineStr">
        <is>
          <t>Selesai</t>
        </is>
      </c>
      <c r="H15" s="16" t="inlineStr">
        <is>
          <t>Ditandatangani kedua belah pihak</t>
        </is>
      </c>
      <c r="I15" s="8" t="n"/>
      <c r="J15" s="8" t="n"/>
    </row>
    <row r="16" ht="20" customHeight="1">
      <c r="B16" s="19" t="n">
        <v>10</v>
      </c>
      <c r="C16" s="20" t="inlineStr">
        <is>
          <t>Fotokopi KTP orang tua / wali nikah (ayah kandung)</t>
        </is>
      </c>
      <c r="D16" s="23" t="n"/>
      <c r="E16" s="23" t="n"/>
      <c r="F16" s="52" t="n">
        <v>5000</v>
      </c>
      <c r="G16" s="67" t="inlineStr">
        <is>
          <t>Selesai</t>
        </is>
      </c>
      <c r="H16" s="20" t="inlineStr">
        <is>
          <t>Jika ayah wafat sertakan surat akta kematian</t>
        </is>
      </c>
      <c r="I16" s="23" t="n"/>
      <c r="J16" s="23" t="n"/>
    </row>
    <row r="17" ht="20" customHeight="1">
      <c r="B17" s="15" t="n">
        <v>11</v>
      </c>
      <c r="C17" s="16" t="inlineStr">
        <is>
          <t>Fotokopi KTP 2 orang saksi nikah</t>
        </is>
      </c>
      <c r="D17" s="8" t="n"/>
      <c r="E17" s="8" t="n"/>
      <c r="F17" s="50" t="n">
        <v>5000</v>
      </c>
      <c r="G17" s="61" t="inlineStr">
        <is>
          <t>Selesai</t>
        </is>
      </c>
      <c r="H17" s="16" t="inlineStr">
        <is>
          <t>Saksi dari pihak keluarga yang sudah dewasa</t>
        </is>
      </c>
      <c r="I17" s="8" t="n"/>
      <c r="J17" s="8" t="n"/>
    </row>
    <row r="18" ht="20" customHeight="1">
      <c r="B18" s="19" t="n">
        <v>12</v>
      </c>
      <c r="C18" s="20" t="inlineStr">
        <is>
          <t>Surat rekomendasi nikah dari KUA asal (Surat Numpang Nikah)</t>
        </is>
      </c>
      <c r="D18" s="23" t="n"/>
      <c r="E18" s="23" t="n"/>
      <c r="F18" s="52" t="n">
        <v>20000</v>
      </c>
      <c r="G18" s="67" t="inlineStr">
        <is>
          <t>Selesai</t>
        </is>
      </c>
      <c r="H18" s="20" t="inlineStr">
        <is>
          <t>Khusus jika akad diadakan di kecamatan berbeda</t>
        </is>
      </c>
      <c r="I18" s="23" t="n"/>
      <c r="J18" s="23" t="n"/>
    </row>
    <row r="19" ht="20" customHeight="1">
      <c r="B19" s="15" t="n">
        <v>13</v>
      </c>
      <c r="C19" s="16" t="inlineStr">
        <is>
          <t>Pendaftaran online kehendak nikah di SIMKAH Kemenag</t>
        </is>
      </c>
      <c r="D19" s="8" t="n"/>
      <c r="E19" s="8" t="n"/>
      <c r="F19" s="50" t="n">
        <v>0</v>
      </c>
      <c r="G19" s="61" t="inlineStr">
        <is>
          <t>Selesai</t>
        </is>
      </c>
      <c r="H19" s="16" t="inlineStr">
        <is>
          <t>Melalui portal simkah.kemenag.go.id</t>
        </is>
      </c>
      <c r="I19" s="8" t="n"/>
      <c r="J19" s="8" t="n"/>
    </row>
    <row r="20" ht="20" customHeight="1">
      <c r="B20" s="19" t="n">
        <v>14</v>
      </c>
      <c r="C20" s="20" t="inlineStr">
        <is>
          <t>Biaya nikah di luar kantor KUA (Bedol / Hari Libur)</t>
        </is>
      </c>
      <c r="D20" s="23" t="n"/>
      <c r="E20" s="23" t="n"/>
      <c r="F20" s="52" t="n">
        <v>600000</v>
      </c>
      <c r="G20" s="67" t="inlineStr">
        <is>
          <t>Selesai</t>
        </is>
      </c>
      <c r="H20" s="20" t="inlineStr">
        <is>
          <t>Setor resmi via kode billing Simponi PNBP ke Bank</t>
        </is>
      </c>
      <c r="I20" s="23" t="n"/>
      <c r="J20" s="23" t="n"/>
    </row>
    <row r="21" ht="20" customHeight="1">
      <c r="B21" s="15" t="n">
        <v>15</v>
      </c>
      <c r="C21" s="16" t="inlineStr">
        <is>
          <t>Materai 10.000 (8 lembar untuk berkas &amp; surat pernyataan)</t>
        </is>
      </c>
      <c r="D21" s="8" t="n"/>
      <c r="E21" s="8" t="n"/>
      <c r="F21" s="50" t="n">
        <v>80000</v>
      </c>
      <c r="G21" s="61" t="inlineStr">
        <is>
          <t>Selesai</t>
        </is>
      </c>
      <c r="H21" s="16" t="inlineStr">
        <is>
          <t>Ditempel pada surat pernyataan &amp; perjanjian</t>
        </is>
      </c>
      <c r="I21" s="8" t="n"/>
      <c r="J21" s="8" t="n"/>
    </row>
    <row r="22" ht="20" customHeight="1">
      <c r="B22" s="19" t="n">
        <v>16</v>
      </c>
      <c r="C22" s="20" t="inlineStr">
        <is>
          <t>Sertifikat Elektronik Siap Nikah &amp; Hamil (Aplikasi ELSIMIL)</t>
        </is>
      </c>
      <c r="D22" s="23" t="n"/>
      <c r="E22" s="23" t="n"/>
      <c r="F22" s="52" t="n">
        <v>0</v>
      </c>
      <c r="G22" s="67" t="inlineStr">
        <is>
          <t>Selesai</t>
        </is>
      </c>
      <c r="H22" s="20" t="inlineStr">
        <is>
          <t>Unduh sertifikat hijau dari BKKBN</t>
        </is>
      </c>
      <c r="I22" s="23" t="n"/>
      <c r="J22" s="23" t="n"/>
    </row>
    <row r="23" ht="20" customHeight="1">
      <c r="B23" s="15" t="n">
        <v>17</v>
      </c>
      <c r="C23" s="16" t="inlineStr">
        <is>
          <t>Buku &amp; Bimbingan Perkawinan (Bimwin) mandiri / KUA</t>
        </is>
      </c>
      <c r="D23" s="8" t="n"/>
      <c r="E23" s="8" t="n"/>
      <c r="F23" s="50" t="n">
        <v>0</v>
      </c>
      <c r="G23" s="42" t="inlineStr">
        <is>
          <t>Dalam Proses</t>
        </is>
      </c>
      <c r="H23" s="16" t="inlineStr">
        <is>
          <t>Wajib diikuti calon pengantin sebelum akad</t>
        </is>
      </c>
      <c r="I23" s="8" t="n"/>
      <c r="J23" s="8" t="n"/>
    </row>
    <row r="24" ht="20" customHeight="1">
      <c r="B24" s="19" t="n">
        <v>18</v>
      </c>
      <c r="C24" s="20" t="inlineStr">
        <is>
          <t>Fotokopi KTP &amp; KK saksi dan wali nikah legalisir</t>
        </is>
      </c>
      <c r="D24" s="23" t="n"/>
      <c r="E24" s="23" t="n"/>
      <c r="F24" s="52" t="n">
        <v>10000</v>
      </c>
      <c r="G24" s="67" t="inlineStr">
        <is>
          <t>Dalam Proses</t>
        </is>
      </c>
      <c r="H24" s="20" t="inlineStr">
        <is>
          <t>Diserahkan ke petugas pencatat nikah</t>
        </is>
      </c>
      <c r="I24" s="23" t="n"/>
      <c r="J24" s="23" t="n"/>
    </row>
    <row r="25" ht="20" customHeight="1">
      <c r="B25" s="15" t="n">
        <v>19</v>
      </c>
      <c r="C25" s="16" t="inlineStr">
        <is>
          <t>Map folder arsip berkas pernikahan tahan air</t>
        </is>
      </c>
      <c r="D25" s="8" t="n"/>
      <c r="E25" s="8" t="n"/>
      <c r="F25" s="50" t="n">
        <v>25000</v>
      </c>
      <c r="G25" s="61" t="inlineStr">
        <is>
          <t>Selesai</t>
        </is>
      </c>
      <c r="H25" s="16" t="inlineStr">
        <is>
          <t>Menyimpan seluruh dokumen asli agar aman</t>
        </is>
      </c>
      <c r="I25" s="8" t="n"/>
      <c r="J25" s="8" t="n"/>
    </row>
    <row r="26" ht="20" customHeight="1">
      <c r="B26" s="19" t="n">
        <v>20</v>
      </c>
      <c r="C26" s="20" t="inlineStr">
        <is>
          <t>Biaya administrasi operasional / transport penghulu KUA</t>
        </is>
      </c>
      <c r="D26" s="23" t="n"/>
      <c r="E26" s="23" t="n"/>
      <c r="F26" s="52" t="n">
        <v>200000</v>
      </c>
      <c r="G26" s="67" t="inlineStr">
        <is>
          <t>Dalam Proses</t>
        </is>
      </c>
      <c r="H26" s="20" t="inlineStr">
        <is>
          <t>Disiapkan amplop rapi oleh panitia keluarga</t>
        </is>
      </c>
      <c r="I26" s="23" t="n"/>
      <c r="J26" s="23" t="n"/>
    </row>
    <row r="27" ht="24" customHeight="1">
      <c r="B27" s="91" t="inlineStr">
        <is>
          <t>TOTAL BIAYA ADMINISTRASI PERSIAPAN PERNIKAHAN</t>
        </is>
      </c>
      <c r="C27" s="54" t="n"/>
      <c r="D27" s="54" t="n"/>
      <c r="E27" s="54" t="n"/>
      <c r="F27" s="55">
        <f>SUM(F7:F26)</f>
        <v/>
      </c>
      <c r="G27" s="54" t="inlineStr"/>
      <c r="H27" s="54" t="inlineStr"/>
      <c r="I27" s="54" t="n"/>
      <c r="J27" s="54" t="n"/>
    </row>
    <row r="30" ht="28" customHeight="1">
      <c r="B30" s="24" t="inlineStr">
        <is>
          <t>🏛️  ALUR PENDAFTARAN PERNIKAHAN RESMI (KUA / CATATAN SIPIL)</t>
        </is>
      </c>
      <c r="C30" s="25" t="n"/>
      <c r="D30" s="25" t="n"/>
      <c r="E30" s="25" t="n"/>
      <c r="F30" s="25" t="n"/>
      <c r="G30" s="25" t="n"/>
      <c r="H30" s="25" t="n"/>
      <c r="I30" s="25" t="n"/>
      <c r="J30" s="25" t="n"/>
    </row>
    <row r="31" ht="26" customHeight="1">
      <c r="B31" s="92" t="inlineStr">
        <is>
          <t>Langkah 1</t>
        </is>
      </c>
      <c r="C31" s="93" t="inlineStr">
        <is>
          <t>Datang ke Pengurus RT / RW Setempat</t>
        </is>
      </c>
      <c r="D31" s="8" t="n"/>
      <c r="E31" s="8" t="n"/>
      <c r="F31" s="18" t="inlineStr">
        <is>
          <t>Membawa fotokopi KK dan KTP asli kedua calon untuk mendapatkan Surat Pengantar Nikah resmi dari RT dan RW.</t>
        </is>
      </c>
      <c r="G31" s="8" t="n"/>
      <c r="H31" s="8" t="n"/>
      <c r="I31" s="8" t="n"/>
      <c r="J31" s="8" t="n"/>
    </row>
    <row r="32" ht="26" customHeight="1">
      <c r="B32" s="67" t="inlineStr">
        <is>
          <t>Langkah 2</t>
        </is>
      </c>
      <c r="C32" s="94" t="inlineStr">
        <is>
          <t>Pemeriksaan Kesehatan di Puskesmas</t>
        </is>
      </c>
      <c r="D32" s="23" t="n"/>
      <c r="E32" s="23" t="n"/>
      <c r="F32" s="22" t="inlineStr">
        <is>
          <t>Melakukan skrining kesehatan pranikah, cek golongan darah &amp; hemoglobin, imunisasi TT wanita, serta input aplikasi ELSIMIL.</t>
        </is>
      </c>
      <c r="G32" s="23" t="n"/>
      <c r="H32" s="23" t="n"/>
      <c r="I32" s="23" t="n"/>
      <c r="J32" s="23" t="n"/>
    </row>
    <row r="33" ht="26" customHeight="1">
      <c r="B33" s="92" t="inlineStr">
        <is>
          <t>Langkah 3</t>
        </is>
      </c>
      <c r="C33" s="93" t="inlineStr">
        <is>
          <t>Datang ke Kantor Kelurahan</t>
        </is>
      </c>
      <c r="D33" s="8" t="n"/>
      <c r="E33" s="8" t="n"/>
      <c r="F33" s="18" t="inlineStr">
        <is>
          <t>Menyerahkan surat pengantar RT/RW untuk menerbitkan Formulir N1 (Surat Nikah), N2 (Asal Usul), dan N4 (Surat Orang Tua).</t>
        </is>
      </c>
      <c r="G33" s="8" t="n"/>
      <c r="H33" s="8" t="n"/>
      <c r="I33" s="8" t="n"/>
      <c r="J33" s="8" t="n"/>
    </row>
    <row r="34" ht="26" customHeight="1">
      <c r="B34" s="67" t="inlineStr">
        <is>
          <t>Langkah 4</t>
        </is>
      </c>
      <c r="C34" s="94" t="inlineStr">
        <is>
          <t>Pengurusan Rekomendasi Nikah di KUA Asal</t>
        </is>
      </c>
      <c r="D34" s="23" t="n"/>
      <c r="E34" s="23" t="n"/>
      <c r="F34" s="22" t="inlineStr">
        <is>
          <t>Khusus bagi calon pengantin pria/wanita yang menikah di luar kecamatan asal, wajib meminta Surat Rekomendasi Nikah (Numpang Nikah).</t>
        </is>
      </c>
      <c r="G34" s="23" t="n"/>
      <c r="H34" s="23" t="n"/>
      <c r="I34" s="23" t="n"/>
      <c r="J34" s="23" t="n"/>
    </row>
    <row r="35" ht="26" customHeight="1">
      <c r="B35" s="92" t="inlineStr">
        <is>
          <t>Langkah 5</t>
        </is>
      </c>
      <c r="C35" s="93" t="inlineStr">
        <is>
          <t>Pendaftaran Kehendak Nikah di SIMKAH Online</t>
        </is>
      </c>
      <c r="D35" s="8" t="n"/>
      <c r="E35" s="8" t="n"/>
      <c r="F35" s="18" t="inlineStr">
        <is>
          <t>Input data calon pengantin di situs simkah.kemenag.go.id, upload berkas, dan bayar tagihan PNBP Rp600.000 ke Bank jika menikah di luar kantor KUA.</t>
        </is>
      </c>
      <c r="G35" s="8" t="n"/>
      <c r="H35" s="8" t="n"/>
      <c r="I35" s="8" t="n"/>
      <c r="J35" s="8" t="n"/>
    </row>
    <row r="36" ht="26" customHeight="1">
      <c r="B36" s="67" t="inlineStr">
        <is>
          <t>Langkah 6</t>
        </is>
      </c>
      <c r="C36" s="94" t="inlineStr">
        <is>
          <t>Bimbingan Perkawinan &amp; Verifikasi Akhir</t>
        </is>
      </c>
      <c r="D36" s="23" t="n"/>
      <c r="E36" s="23" t="n"/>
      <c r="F36" s="22" t="inlineStr">
        <is>
          <t>Menghadiri kursus pranikah (Bimwin) dan pemeriksaan berkas fisik di KUA bersama wali nikah minimal H-10 sebelum akad.</t>
        </is>
      </c>
      <c r="G36" s="23" t="n"/>
      <c r="H36" s="23" t="n"/>
      <c r="I36" s="23" t="n"/>
      <c r="J36" s="23" t="n"/>
    </row>
  </sheetData>
  <mergeCells count="60">
    <mergeCell ref="C16:E16"/>
    <mergeCell ref="C31:E31"/>
    <mergeCell ref="F34:J34"/>
    <mergeCell ref="C22:E22"/>
    <mergeCell ref="C9:E9"/>
    <mergeCell ref="C25:E25"/>
    <mergeCell ref="H17:J17"/>
    <mergeCell ref="C21:E21"/>
    <mergeCell ref="H11:J11"/>
    <mergeCell ref="C12:E12"/>
    <mergeCell ref="H7:J7"/>
    <mergeCell ref="H16:J16"/>
    <mergeCell ref="H6:J6"/>
    <mergeCell ref="C11:E11"/>
    <mergeCell ref="C36:E36"/>
    <mergeCell ref="H22:J22"/>
    <mergeCell ref="H13:J13"/>
    <mergeCell ref="H19:J19"/>
    <mergeCell ref="C23:E23"/>
    <mergeCell ref="C8:E8"/>
    <mergeCell ref="H27:J27"/>
    <mergeCell ref="F36:J36"/>
    <mergeCell ref="C17:E17"/>
    <mergeCell ref="F33:J33"/>
    <mergeCell ref="H12:J12"/>
    <mergeCell ref="C7:E7"/>
    <mergeCell ref="F32:J32"/>
    <mergeCell ref="F35:J35"/>
    <mergeCell ref="B30:J30"/>
    <mergeCell ref="C32:E32"/>
    <mergeCell ref="H15:J15"/>
    <mergeCell ref="B27:E27"/>
    <mergeCell ref="H24:J24"/>
    <mergeCell ref="B5:J5"/>
    <mergeCell ref="C13:E13"/>
    <mergeCell ref="H18:J18"/>
    <mergeCell ref="H14:J14"/>
    <mergeCell ref="C19:E19"/>
    <mergeCell ref="H23:J23"/>
    <mergeCell ref="H8:J8"/>
    <mergeCell ref="C18:E18"/>
    <mergeCell ref="F31:J31"/>
    <mergeCell ref="H26:J26"/>
    <mergeCell ref="C34:E34"/>
    <mergeCell ref="C15:E15"/>
    <mergeCell ref="C6:E6"/>
    <mergeCell ref="H20:J20"/>
    <mergeCell ref="C24:E24"/>
    <mergeCell ref="C33:E33"/>
    <mergeCell ref="B3:J3"/>
    <mergeCell ref="H10:J10"/>
    <mergeCell ref="C14:E14"/>
    <mergeCell ref="C26:E26"/>
    <mergeCell ref="H9:J9"/>
    <mergeCell ref="C35:E35"/>
    <mergeCell ref="C20:E20"/>
    <mergeCell ref="H25:J25"/>
    <mergeCell ref="H21:J21"/>
    <mergeCell ref="B2:J2"/>
    <mergeCell ref="C10:E10"/>
  </mergeCells>
  <dataValidations count="1">
    <dataValidation sqref="G7:G26" showDropDown="0" showInputMessage="0" showErrorMessage="0" allowBlank="1" type="list">
      <formula1>"Belum,Dalam Proses,Selesai"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6B214F"/>
    <outlinePr summaryBelow="1" summaryRight="1"/>
    <pageSetUpPr/>
  </sheetPr>
  <dimension ref="B2:J22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25" customWidth="1" min="10" max="10"/>
  </cols>
  <sheetData>
    <row r="2" ht="36" customHeight="1">
      <c r="B2" s="1" t="inlineStr">
        <is>
          <t xml:space="preserve">  CATATAN &amp; INSPIRASI PERNIKAHAN  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 ht="20" customHeight="1">
      <c r="B3" s="3" t="inlineStr">
        <is>
          <t xml:space="preserve">  Ruang catatan meeting vendor, ide dekorasi, kontak darurat, dan kesepakatan keluarga.  </t>
        </is>
      </c>
      <c r="C3" s="4" t="n"/>
      <c r="D3" s="4" t="n"/>
      <c r="E3" s="4" t="n"/>
      <c r="F3" s="4" t="n"/>
      <c r="G3" s="4" t="n"/>
      <c r="H3" s="4" t="n"/>
      <c r="I3" s="4" t="n"/>
      <c r="J3" s="4" t="n"/>
    </row>
    <row r="5" ht="26" customHeight="1">
      <c r="B5" s="5" t="inlineStr">
        <is>
          <t>📝  CATATAN MEETING VENDOR &amp; KESEPAKATAN</t>
        </is>
      </c>
      <c r="C5" s="6" t="n"/>
      <c r="D5" s="6" t="n"/>
      <c r="E5" s="6" t="n"/>
      <c r="F5" s="6" t="n"/>
      <c r="G5" s="6" t="n"/>
      <c r="H5" s="6" t="n"/>
      <c r="I5" s="6" t="n"/>
      <c r="J5" s="6" t="n"/>
    </row>
    <row r="6" ht="24" customHeight="1">
      <c r="B6" s="93" t="inlineStr">
        <is>
          <t>Grand Harmony Hotel</t>
        </is>
      </c>
      <c r="C6" s="95" t="n"/>
      <c r="D6" s="18" t="inlineStr">
        <is>
          <t>Technical meeting disepakati tanggal 12 September 2026. Ruang rias VIP dapat dipakai mulai jam 04.00 WIB pagi.</t>
        </is>
      </c>
      <c r="E6" s="95" t="n"/>
      <c r="F6" s="95" t="n"/>
      <c r="G6" s="95" t="n"/>
      <c r="H6" s="95" t="n"/>
      <c r="I6" s="95" t="n"/>
      <c r="J6" s="95" t="n"/>
    </row>
    <row r="7" ht="24" customHeight="1">
      <c r="B7" s="94" t="inlineStr">
        <is>
          <t>Sari Rasa Catering</t>
        </is>
      </c>
      <c r="C7" s="27" t="n"/>
      <c r="D7" s="22" t="inlineStr">
        <is>
          <t>Menu gubukan zuppa soup ditambah 50 porsi gratis sebagai bonus. Pelayanan es puter dimulai setelah prosesi lempar buket.</t>
        </is>
      </c>
      <c r="E7" s="27" t="n"/>
      <c r="F7" s="27" t="n"/>
      <c r="G7" s="27" t="n"/>
      <c r="H7" s="27" t="n"/>
      <c r="I7" s="27" t="n"/>
      <c r="J7" s="27" t="n"/>
    </row>
    <row r="8" ht="24" customHeight="1">
      <c r="B8" s="93" t="inlineStr">
        <is>
          <t>Bloom &amp; Co. Dekorasi</t>
        </is>
      </c>
      <c r="C8" s="95" t="n"/>
      <c r="D8" s="18" t="inlineStr">
        <is>
          <t>Tone warna pelaminan: terracotta rose, plum burgundy, dan aksen gold. Standing floral di aisle menggunakan mawar putih segar.</t>
        </is>
      </c>
      <c r="E8" s="95" t="n"/>
      <c r="F8" s="95" t="n"/>
      <c r="G8" s="95" t="n"/>
      <c r="H8" s="95" t="n"/>
      <c r="I8" s="95" t="n"/>
      <c r="J8" s="95" t="n"/>
    </row>
    <row r="9" ht="24" customHeight="1">
      <c r="B9" s="94" t="inlineStr">
        <is>
          <t>Lensa Kita Photo</t>
        </is>
      </c>
      <c r="C9" s="27" t="n"/>
      <c r="D9" s="22" t="inlineStr">
        <is>
          <t>Fotografer standby jam 05.30 WIB untuk liputan prosesi makeup CPW dan detail aksesoris cincin/mahar.</t>
        </is>
      </c>
      <c r="E9" s="27" t="n"/>
      <c r="F9" s="27" t="n"/>
      <c r="G9" s="27" t="n"/>
      <c r="H9" s="27" t="n"/>
      <c r="I9" s="27" t="n"/>
      <c r="J9" s="27" t="n"/>
    </row>
    <row r="11" ht="26" customHeight="1">
      <c r="B11" s="5" t="inlineStr">
        <is>
          <t>👥  PANITIA KELUARGA &amp; KONTAK DARURAT HARI H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22" customHeight="1">
      <c r="B12" s="51" t="inlineStr">
        <is>
          <t>Penanggung Jawab Acara</t>
        </is>
      </c>
      <c r="C12" s="95" t="n"/>
      <c r="D12" s="8" t="inlineStr">
        <is>
          <t>Pakde Bambang S.</t>
        </is>
      </c>
      <c r="E12" s="95" t="n"/>
      <c r="F12" s="66" t="inlineStr">
        <is>
          <t>0812-9876-5432</t>
        </is>
      </c>
      <c r="G12" s="8" t="inlineStr">
        <is>
          <t>Koordinasi saksi &amp; penghulu KUA</t>
        </is>
      </c>
      <c r="H12" s="95" t="n"/>
      <c r="I12" s="95" t="n"/>
      <c r="J12" s="95" t="n"/>
    </row>
    <row r="13" ht="22" customHeight="1">
      <c r="B13" s="7" t="inlineStr">
        <is>
          <t>Koordinator Konsumsi</t>
        </is>
      </c>
      <c r="C13" s="27" t="n"/>
      <c r="D13" s="23" t="inlineStr">
        <is>
          <t>Tante Ani Depok</t>
        </is>
      </c>
      <c r="E13" s="27" t="n"/>
      <c r="F13" s="67" t="inlineStr">
        <is>
          <t>0813-1122-3344</t>
        </is>
      </c>
      <c r="G13" s="23" t="inlineStr">
        <is>
          <t>Pengawasan porsi katering &amp; box panitia</t>
        </is>
      </c>
      <c r="H13" s="27" t="n"/>
      <c r="I13" s="27" t="n"/>
      <c r="J13" s="27" t="n"/>
    </row>
    <row r="14" ht="22" customHeight="1">
      <c r="B14" s="51" t="inlineStr">
        <is>
          <t>Penerima Tamu &amp; Buku Tamu</t>
        </is>
      </c>
      <c r="C14" s="95" t="n"/>
      <c r="D14" s="8" t="inlineStr">
        <is>
          <t>Sinta &amp; Nanda</t>
        </is>
      </c>
      <c r="E14" s="95" t="n"/>
      <c r="F14" s="66" t="inlineStr">
        <is>
          <t>0856-4433-2211</t>
        </is>
      </c>
      <c r="G14" s="8" t="inlineStr">
        <is>
          <t>Standby meja registrasi &amp; souvenir</t>
        </is>
      </c>
      <c r="H14" s="95" t="n"/>
      <c r="I14" s="95" t="n"/>
      <c r="J14" s="95" t="n"/>
    </row>
    <row r="15" ht="22" customHeight="1">
      <c r="B15" s="7" t="inlineStr">
        <is>
          <t>Bendahara &amp; Angpau</t>
        </is>
      </c>
      <c r="C15" s="27" t="n"/>
      <c r="D15" s="23" t="inlineStr">
        <is>
          <t>Ibu Rina (Ibu Pengantin)</t>
        </is>
      </c>
      <c r="E15" s="27" t="n"/>
      <c r="F15" s="67" t="inlineStr">
        <is>
          <t>0811-2233-4455</t>
        </is>
      </c>
      <c r="G15" s="23" t="inlineStr">
        <is>
          <t>Kunci kotak uang &amp; serah terima amplop tips</t>
        </is>
      </c>
      <c r="H15" s="27" t="n"/>
      <c r="I15" s="27" t="n"/>
      <c r="J15" s="27" t="n"/>
    </row>
    <row r="16" ht="22" customHeight="1">
      <c r="B16" s="51" t="inlineStr">
        <is>
          <t>Koordinator Logistik &amp; Mobil</t>
        </is>
      </c>
      <c r="C16" s="95" t="n"/>
      <c r="D16" s="8" t="inlineStr">
        <is>
          <t>Mas Fajar Nugraha</t>
        </is>
      </c>
      <c r="E16" s="95" t="n"/>
      <c r="F16" s="66" t="inlineStr">
        <is>
          <t>0818-7766-5544</t>
        </is>
      </c>
      <c r="G16" s="8" t="inlineStr">
        <is>
          <t>Pengawalan seserahan &amp; koper busana</t>
        </is>
      </c>
      <c r="H16" s="95" t="n"/>
      <c r="I16" s="95" t="n"/>
      <c r="J16" s="95" t="n"/>
    </row>
    <row r="18" ht="26" customHeight="1">
      <c r="B18" s="24" t="inlineStr">
        <is>
          <t>✨  IDE KREATIF, PLAYLIST &amp; SUASANA ACARA</t>
        </is>
      </c>
      <c r="C18" s="25" t="n"/>
      <c r="D18" s="25" t="n"/>
      <c r="E18" s="25" t="n"/>
      <c r="F18" s="25" t="n"/>
      <c r="G18" s="25" t="n"/>
      <c r="H18" s="25" t="n"/>
      <c r="I18" s="25" t="n"/>
      <c r="J18" s="25" t="n"/>
    </row>
    <row r="19" ht="22" customHeight="1">
      <c r="B19" s="7" t="inlineStr">
        <is>
          <t>Lagu Pengiring Masuk Pelaminan</t>
        </is>
      </c>
      <c r="C19" s="27" t="n"/>
      <c r="D19" s="27" t="n"/>
      <c r="E19" s="23" t="inlineStr">
        <is>
          <t>Kisah Romantis - Glenn Fredly / Sampai Jadi Debu - Banda Neira (Versi Akustik)</t>
        </is>
      </c>
      <c r="F19" s="27" t="n"/>
      <c r="G19" s="27" t="n"/>
      <c r="H19" s="27" t="n"/>
      <c r="I19" s="27" t="n"/>
      <c r="J19" s="27" t="n"/>
    </row>
    <row r="20" ht="22" customHeight="1">
      <c r="B20" s="51" t="inlineStr">
        <is>
          <t>Konsep Dress Code Undangan</t>
        </is>
      </c>
      <c r="C20" s="95" t="n"/>
      <c r="D20" s="95" t="n"/>
      <c r="E20" s="8" t="inlineStr">
        <is>
          <t>Bebas rapi sopan dengan sentuhan warna pastel / earth tone hangat</t>
        </is>
      </c>
      <c r="F20" s="95" t="n"/>
      <c r="G20" s="95" t="n"/>
      <c r="H20" s="95" t="n"/>
      <c r="I20" s="95" t="n"/>
      <c r="J20" s="95" t="n"/>
    </row>
    <row r="21" ht="22" customHeight="1">
      <c r="B21" s="7" t="inlineStr">
        <is>
          <t>Sovenir Tambahan untuk VIP</t>
        </is>
      </c>
      <c r="C21" s="27" t="n"/>
      <c r="D21" s="27" t="n"/>
      <c r="E21" s="23" t="inlineStr">
        <is>
          <t>Kotak teh premium artisan custom label ucapan terima kasih</t>
        </is>
      </c>
      <c r="F21" s="27" t="n"/>
      <c r="G21" s="27" t="n"/>
      <c r="H21" s="27" t="n"/>
      <c r="I21" s="27" t="n"/>
      <c r="J21" s="27" t="n"/>
    </row>
    <row r="22" ht="22" customHeight="1">
      <c r="B22" s="51" t="inlineStr">
        <is>
          <t>Moment Penyerahan Mahar</t>
        </is>
      </c>
      <c r="C22" s="95" t="n"/>
      <c r="D22" s="95" t="n"/>
      <c r="E22" s="8" t="inlineStr">
        <is>
          <t>Foto formal bersama kedua orang tua, saksi, dan penghulu langsung setelah ijab qobul</t>
        </is>
      </c>
      <c r="F22" s="95" t="n"/>
      <c r="G22" s="95" t="n"/>
      <c r="H22" s="95" t="n"/>
      <c r="I22" s="95" t="n"/>
      <c r="J22" s="95" t="n"/>
    </row>
  </sheetData>
  <mergeCells count="36">
    <mergeCell ref="B11:J11"/>
    <mergeCell ref="E19:J19"/>
    <mergeCell ref="B16:C16"/>
    <mergeCell ref="B7:C7"/>
    <mergeCell ref="D9:J9"/>
    <mergeCell ref="D8:J8"/>
    <mergeCell ref="G16:J16"/>
    <mergeCell ref="B12:C12"/>
    <mergeCell ref="B19:D19"/>
    <mergeCell ref="D13:E13"/>
    <mergeCell ref="G12:J12"/>
    <mergeCell ref="B14:C14"/>
    <mergeCell ref="B8:C8"/>
    <mergeCell ref="B20:D20"/>
    <mergeCell ref="B13:C13"/>
    <mergeCell ref="D16:E16"/>
    <mergeCell ref="B5:J5"/>
    <mergeCell ref="E22:J22"/>
    <mergeCell ref="D6:J6"/>
    <mergeCell ref="B9:C9"/>
    <mergeCell ref="E21:J21"/>
    <mergeCell ref="D12:E12"/>
    <mergeCell ref="B6:C6"/>
    <mergeCell ref="G13:J13"/>
    <mergeCell ref="B3:J3"/>
    <mergeCell ref="B15:C15"/>
    <mergeCell ref="D15:E15"/>
    <mergeCell ref="B22:D22"/>
    <mergeCell ref="D7:J7"/>
    <mergeCell ref="D14:E14"/>
    <mergeCell ref="B18:J18"/>
    <mergeCell ref="B21:D21"/>
    <mergeCell ref="G15:J15"/>
    <mergeCell ref="E20:J20"/>
    <mergeCell ref="B2:J2"/>
    <mergeCell ref="G14:J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2026-09-22T09:21:54Z</dcterms:created>
  <dcterms:modified xsi:type="dcterms:W3CDTF">2026-09-22T09:21:55Z</dcterms:modified>
</cp:coreProperties>
</file>